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by\OneDrive\Escritorio\facturacion ute 2026\1-2026\"/>
    </mc:Choice>
  </mc:AlternateContent>
  <xr:revisionPtr revIDLastSave="0" documentId="13_ncr:1_{7ED74382-6741-4A8A-A26F-4D56D6435DED}" xr6:coauthVersionLast="47" xr6:coauthVersionMax="47" xr10:uidLastSave="{00000000-0000-0000-0000-000000000000}"/>
  <bookViews>
    <workbookView xWindow="-29580" yWindow="330" windowWidth="27480" windowHeight="15345" firstSheet="1" xr2:uid="{00000000-000D-0000-FFFF-FFFF00000000}"/>
  </bookViews>
  <sheets>
    <sheet name="HES GRAL" sheetId="7" r:id="rId1"/>
    <sheet name="mensual gral." sheetId="1" r:id="rId2"/>
    <sheet name="palermo" sheetId="3" r:id="rId3"/>
    <sheet name="la plata y san isidro" sheetId="5" r:id="rId4"/>
    <sheet name="total gral." sheetId="2" r:id="rId5"/>
    <sheet name="total palermo" sheetId="4" r:id="rId6"/>
    <sheet name="total La plata y san isidro" sheetId="6" r:id="rId7"/>
  </sheets>
  <definedNames>
    <definedName name="_xlnm._FilterDatabase" localSheetId="0" hidden="1">'HES GRAL'!$B$1:$I$72</definedName>
    <definedName name="_xlnm._FilterDatabase" localSheetId="1" hidden="1">'mensual gral.'!$A$1:$G$867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22" i="5"/>
  <c r="E16" i="2" l="1"/>
  <c r="E8" i="2" l="1"/>
  <c r="E34" i="2"/>
  <c r="E15" i="2"/>
  <c r="K221" i="1" l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20" i="1"/>
  <c r="K6" i="1" l="1"/>
  <c r="J34" i="2" l="1"/>
  <c r="D23" i="5"/>
  <c r="D12" i="5"/>
  <c r="E10" i="2" l="1"/>
  <c r="B84" i="7" l="1"/>
  <c r="B83" i="7"/>
  <c r="B82" i="7"/>
  <c r="B81" i="7"/>
  <c r="B80" i="7"/>
  <c r="B79" i="7"/>
  <c r="F49" i="7"/>
  <c r="F48" i="7"/>
  <c r="K48" i="7" s="1"/>
  <c r="F47" i="7"/>
  <c r="K47" i="7"/>
  <c r="K49" i="7"/>
  <c r="B3" i="5" l="1"/>
  <c r="B3" i="3" l="1"/>
  <c r="B4" i="3" s="1"/>
  <c r="B5" i="3" s="1"/>
  <c r="B6" i="3" s="1"/>
  <c r="B7" i="3" s="1"/>
  <c r="B8" i="3" s="1"/>
  <c r="B9" i="3" s="1"/>
  <c r="B10" i="3" s="1"/>
  <c r="B11" i="3" s="1"/>
  <c r="G14" i="4" l="1"/>
  <c r="B14" i="5" l="1"/>
  <c r="B15" i="5" s="1"/>
  <c r="B16" i="5" s="1"/>
  <c r="B17" i="5" s="1"/>
  <c r="B18" i="5" s="1"/>
  <c r="B19" i="5" s="1"/>
  <c r="B20" i="5" s="1"/>
  <c r="B21" i="5" s="1"/>
  <c r="B4" i="5"/>
  <c r="B5" i="5" s="1"/>
  <c r="B6" i="5" s="1"/>
  <c r="B7" i="5" s="1"/>
  <c r="B8" i="5" s="1"/>
  <c r="B9" i="5" s="1"/>
  <c r="B10" i="5" s="1"/>
  <c r="N257" i="1" l="1"/>
  <c r="N256" i="1"/>
  <c r="D13" i="3"/>
  <c r="G12" i="5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90" i="7" l="1"/>
  <c r="H72" i="7"/>
  <c r="H76" i="7" l="1"/>
  <c r="E92" i="7"/>
  <c r="E22" i="2" l="1"/>
  <c r="E17" i="2"/>
  <c r="H34" i="2" l="1"/>
  <c r="G9" i="2" l="1"/>
  <c r="G10" i="2"/>
  <c r="E9" i="2" l="1"/>
  <c r="E6" i="2" l="1"/>
  <c r="E7" i="2"/>
  <c r="E5" i="2"/>
  <c r="E27" i="2" l="1"/>
  <c r="E26" i="2"/>
  <c r="E25" i="2"/>
  <c r="E24" i="2"/>
  <c r="E23" i="2"/>
  <c r="E21" i="2"/>
  <c r="E28" i="2" l="1"/>
  <c r="G8" i="2"/>
  <c r="G32" i="2"/>
  <c r="E13" i="2"/>
  <c r="E11" i="2"/>
  <c r="E12" i="2"/>
  <c r="G5" i="2"/>
  <c r="G6" i="2"/>
  <c r="G7" i="2"/>
  <c r="F25" i="2" l="1"/>
  <c r="F22" i="2"/>
  <c r="F26" i="2"/>
  <c r="F27" i="2"/>
  <c r="F24" i="2"/>
  <c r="F23" i="2"/>
  <c r="F21" i="2"/>
  <c r="E32" i="2"/>
  <c r="G15" i="2"/>
  <c r="E4" i="2"/>
  <c r="G11" i="2"/>
  <c r="G12" i="2"/>
  <c r="G13" i="2"/>
  <c r="G14" i="2"/>
  <c r="G16" i="2"/>
  <c r="G18" i="2" l="1"/>
  <c r="E14" i="2"/>
  <c r="H32" i="2"/>
  <c r="H42" i="2" l="1"/>
  <c r="H43" i="2" s="1"/>
  <c r="D45" i="2" l="1"/>
  <c r="K4" i="2" l="1"/>
  <c r="O4" i="2" s="1"/>
  <c r="G4" i="6" l="1"/>
  <c r="K3" i="4" l="1"/>
  <c r="L5" i="4"/>
  <c r="L6" i="4" s="1"/>
  <c r="G41" i="3" l="1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1" i="5"/>
  <c r="G10" i="5"/>
  <c r="G9" i="5"/>
  <c r="G8" i="5"/>
  <c r="G7" i="5"/>
  <c r="G6" i="5"/>
  <c r="G5" i="5"/>
  <c r="G4" i="5"/>
  <c r="G3" i="5"/>
  <c r="G2" i="5"/>
  <c r="G42" i="3" l="1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L34" i="2" l="1"/>
  <c r="F2" i="4" l="1"/>
  <c r="E4" i="6" s="1"/>
  <c r="F6" i="4"/>
  <c r="H2" i="4"/>
  <c r="C1" i="4"/>
  <c r="F3" i="4" l="1"/>
  <c r="E3" i="6"/>
  <c r="E2" i="6"/>
  <c r="G3" i="6"/>
  <c r="G2" i="6"/>
  <c r="G3" i="4" l="1"/>
  <c r="E5" i="6"/>
  <c r="F10" i="6" s="1"/>
  <c r="F5" i="4"/>
  <c r="F7" i="4"/>
  <c r="I2" i="4" s="1"/>
  <c r="G2" i="4"/>
  <c r="F4" i="6" l="1"/>
  <c r="F8" i="6"/>
  <c r="F14" i="4"/>
  <c r="F3" i="6"/>
  <c r="F19" i="6" s="1"/>
  <c r="F2" i="6"/>
  <c r="F18" i="6" s="1"/>
  <c r="E7" i="4"/>
  <c r="F5" i="6"/>
  <c r="E17" i="6" l="1"/>
  <c r="I17" i="6" s="1"/>
  <c r="F17" i="6"/>
  <c r="F20" i="6" s="1"/>
  <c r="E19" i="6"/>
  <c r="I19" i="6" s="1"/>
  <c r="E18" i="6"/>
  <c r="I18" i="6" s="1"/>
  <c r="L14" i="4"/>
  <c r="G15" i="4"/>
  <c r="J14" i="4"/>
  <c r="H14" i="4"/>
  <c r="I14" i="4" s="1"/>
  <c r="F15" i="4"/>
  <c r="G17" i="6" l="1"/>
  <c r="J17" i="6"/>
  <c r="O23" i="6" s="1"/>
  <c r="J18" i="6"/>
  <c r="O25" i="6" s="1"/>
  <c r="J19" i="6"/>
  <c r="O27" i="6" s="1"/>
  <c r="P27" i="6" s="1"/>
  <c r="Q27" i="6" s="1"/>
  <c r="R27" i="6" s="1"/>
  <c r="C75" i="7" s="1"/>
  <c r="F83" i="7" s="1"/>
  <c r="E20" i="6"/>
  <c r="I20" i="6"/>
  <c r="N14" i="4"/>
  <c r="K14" i="4"/>
  <c r="J15" i="4"/>
  <c r="L15" i="4"/>
  <c r="M14" i="4"/>
  <c r="M15" i="4" s="1"/>
  <c r="H15" i="4"/>
  <c r="G18" i="6"/>
  <c r="G19" i="6"/>
  <c r="I75" i="7" l="1"/>
  <c r="E75" i="7" s="1"/>
  <c r="W27" i="6"/>
  <c r="H19" i="6"/>
  <c r="P25" i="6"/>
  <c r="Q25" i="6" s="1"/>
  <c r="P23" i="6"/>
  <c r="Q23" i="6" s="1"/>
  <c r="G20" i="6"/>
  <c r="K15" i="4"/>
  <c r="O14" i="4"/>
  <c r="O15" i="4" s="1"/>
  <c r="N15" i="4"/>
  <c r="H18" i="6"/>
  <c r="R23" i="6" l="1"/>
  <c r="C71" i="7" s="1"/>
  <c r="F79" i="7" s="1"/>
  <c r="R25" i="6"/>
  <c r="C73" i="7" s="1"/>
  <c r="F81" i="7" s="1"/>
  <c r="P14" i="4"/>
  <c r="P15" i="4" s="1"/>
  <c r="J20" i="6"/>
  <c r="D44" i="2"/>
  <c r="D43" i="2"/>
  <c r="D42" i="2"/>
  <c r="G33" i="2"/>
  <c r="G31" i="2"/>
  <c r="E3" i="2"/>
  <c r="E18" i="2" s="1"/>
  <c r="W23" i="6" l="1"/>
  <c r="W25" i="6"/>
  <c r="I73" i="7"/>
  <c r="E73" i="7" s="1"/>
  <c r="F17" i="2"/>
  <c r="H31" i="2"/>
  <c r="I71" i="7"/>
  <c r="E71" i="7" s="1"/>
  <c r="Q14" i="4"/>
  <c r="Q15" i="4" s="1"/>
  <c r="G37" i="2"/>
  <c r="G38" i="2"/>
  <c r="D17" i="2"/>
  <c r="E33" i="2" l="1"/>
  <c r="H17" i="2"/>
  <c r="H37" i="2"/>
  <c r="H6" i="2"/>
  <c r="H7" i="2"/>
  <c r="H16" i="2"/>
  <c r="H12" i="2"/>
  <c r="H10" i="2"/>
  <c r="H11" i="2"/>
  <c r="H9" i="2"/>
  <c r="H15" i="2"/>
  <c r="H5" i="2"/>
  <c r="H14" i="2"/>
  <c r="H8" i="2"/>
  <c r="H13" i="2"/>
  <c r="H18" i="2" l="1"/>
  <c r="D10" i="2"/>
  <c r="F4" i="2"/>
  <c r="D15" i="2"/>
  <c r="D6" i="2"/>
  <c r="D11" i="2"/>
  <c r="D5" i="2"/>
  <c r="D14" i="2"/>
  <c r="D16" i="2"/>
  <c r="D7" i="2"/>
  <c r="D12" i="2"/>
  <c r="D13" i="2"/>
  <c r="D9" i="2"/>
  <c r="D4" i="2"/>
  <c r="D8" i="2"/>
  <c r="E31" i="2"/>
  <c r="F3" i="2"/>
  <c r="F8" i="2"/>
  <c r="F12" i="2"/>
  <c r="F16" i="2"/>
  <c r="F11" i="2"/>
  <c r="F5" i="2"/>
  <c r="F9" i="2"/>
  <c r="F13" i="2"/>
  <c r="F15" i="2"/>
  <c r="F6" i="2"/>
  <c r="F10" i="2"/>
  <c r="F14" i="2"/>
  <c r="F7" i="2"/>
  <c r="F18" i="2" l="1"/>
  <c r="E35" i="2"/>
  <c r="F31" i="2" l="1"/>
  <c r="E63" i="2" s="1"/>
  <c r="I63" i="2" s="1"/>
  <c r="I17" i="2"/>
  <c r="J17" i="2" s="1"/>
  <c r="L17" i="2" s="1"/>
  <c r="F32" i="2"/>
  <c r="F35" i="2"/>
  <c r="I14" i="2"/>
  <c r="J14" i="2" s="1"/>
  <c r="L14" i="2" s="1"/>
  <c r="I6" i="2"/>
  <c r="J6" i="2" s="1"/>
  <c r="I16" i="2"/>
  <c r="J16" i="2" s="1"/>
  <c r="I9" i="2"/>
  <c r="J9" i="2" s="1"/>
  <c r="I15" i="2"/>
  <c r="J15" i="2" s="1"/>
  <c r="I8" i="2"/>
  <c r="J8" i="2" s="1"/>
  <c r="I12" i="2"/>
  <c r="J12" i="2" s="1"/>
  <c r="I4" i="2"/>
  <c r="J4" i="2" s="1"/>
  <c r="I10" i="2"/>
  <c r="J10" i="2" s="1"/>
  <c r="I13" i="2"/>
  <c r="J13" i="2" s="1"/>
  <c r="I7" i="2"/>
  <c r="J7" i="2" s="1"/>
  <c r="I5" i="2"/>
  <c r="J5" i="2" s="1"/>
  <c r="I11" i="2"/>
  <c r="J11" i="2" s="1"/>
  <c r="F33" i="2"/>
  <c r="E38" i="2"/>
  <c r="F34" i="2"/>
  <c r="E40" i="2"/>
  <c r="E62" i="2" l="1"/>
  <c r="I62" i="2" s="1"/>
  <c r="E61" i="2"/>
  <c r="I61" i="2" s="1"/>
  <c r="I11" i="7"/>
  <c r="F11" i="7" s="1"/>
  <c r="E66" i="2"/>
  <c r="E65" i="2"/>
  <c r="F65" i="2" s="1"/>
  <c r="E70" i="2"/>
  <c r="I70" i="2" s="1"/>
  <c r="I60" i="7" s="1"/>
  <c r="F60" i="7" s="1"/>
  <c r="F63" i="2"/>
  <c r="E67" i="2"/>
  <c r="I67" i="2" s="1"/>
  <c r="I54" i="7" s="1"/>
  <c r="F54" i="7" s="1"/>
  <c r="E69" i="2"/>
  <c r="I69" i="2" s="1"/>
  <c r="I58" i="7" s="1"/>
  <c r="F58" i="7" s="1"/>
  <c r="E71" i="2"/>
  <c r="I71" i="2" s="1"/>
  <c r="I62" i="7" s="1"/>
  <c r="F62" i="7" s="1"/>
  <c r="E68" i="2"/>
  <c r="I68" i="2" s="1"/>
  <c r="I56" i="7" s="1"/>
  <c r="F56" i="7" s="1"/>
  <c r="F76" i="2"/>
  <c r="F77" i="2"/>
  <c r="E76" i="2"/>
  <c r="E77" i="2"/>
  <c r="F53" i="2"/>
  <c r="F54" i="2"/>
  <c r="E53" i="2"/>
  <c r="I53" i="2" s="1"/>
  <c r="I39" i="7" s="1"/>
  <c r="F39" i="7" s="1"/>
  <c r="E54" i="2"/>
  <c r="I54" i="2" s="1"/>
  <c r="I41" i="7" s="1"/>
  <c r="F41" i="7" s="1"/>
  <c r="L5" i="2"/>
  <c r="N5" i="2"/>
  <c r="P5" i="2" s="1"/>
  <c r="L9" i="2"/>
  <c r="N9" i="2"/>
  <c r="P9" i="2" s="1"/>
  <c r="L7" i="2"/>
  <c r="N7" i="2"/>
  <c r="P7" i="2" s="1"/>
  <c r="L12" i="2"/>
  <c r="N12" i="2"/>
  <c r="P12" i="2" s="1"/>
  <c r="L13" i="2"/>
  <c r="N13" i="2"/>
  <c r="P13" i="2" s="1"/>
  <c r="L6" i="2"/>
  <c r="N6" i="2"/>
  <c r="P6" i="2" s="1"/>
  <c r="L4" i="2"/>
  <c r="N4" i="2"/>
  <c r="P4" i="2" s="1"/>
  <c r="L16" i="2"/>
  <c r="N16" i="2"/>
  <c r="P16" i="2" s="1"/>
  <c r="L8" i="2"/>
  <c r="N8" i="2"/>
  <c r="P8" i="2" s="1"/>
  <c r="L11" i="2"/>
  <c r="N11" i="2"/>
  <c r="P11" i="2" s="1"/>
  <c r="L10" i="2"/>
  <c r="N10" i="2"/>
  <c r="P10" i="2" s="1"/>
  <c r="L15" i="2"/>
  <c r="N15" i="2"/>
  <c r="P15" i="2" s="1"/>
  <c r="N14" i="2"/>
  <c r="P14" i="2" s="1"/>
  <c r="E80" i="2"/>
  <c r="F80" i="2"/>
  <c r="E49" i="2"/>
  <c r="I49" i="2" s="1"/>
  <c r="E79" i="2"/>
  <c r="I79" i="2" s="1"/>
  <c r="E73" i="2"/>
  <c r="I73" i="2" s="1"/>
  <c r="E78" i="2"/>
  <c r="I78" i="2" s="1"/>
  <c r="E75" i="2"/>
  <c r="I75" i="2" s="1"/>
  <c r="E74" i="2"/>
  <c r="I74" i="2" s="1"/>
  <c r="F79" i="2"/>
  <c r="F74" i="2"/>
  <c r="F75" i="2"/>
  <c r="F78" i="2"/>
  <c r="F73" i="2"/>
  <c r="F51" i="2"/>
  <c r="J51" i="2" s="1"/>
  <c r="F60" i="2"/>
  <c r="J60" i="2" s="1"/>
  <c r="F52" i="2"/>
  <c r="J52" i="2" s="1"/>
  <c r="F57" i="2"/>
  <c r="J57" i="2" s="1"/>
  <c r="F61" i="2"/>
  <c r="J61" i="2" s="1"/>
  <c r="F49" i="2"/>
  <c r="J49" i="2" s="1"/>
  <c r="F55" i="2"/>
  <c r="J55" i="2" s="1"/>
  <c r="F58" i="2"/>
  <c r="J58" i="2" s="1"/>
  <c r="F62" i="2"/>
  <c r="J62" i="2" s="1"/>
  <c r="F50" i="2"/>
  <c r="J50" i="2" s="1"/>
  <c r="F59" i="2"/>
  <c r="J59" i="2" s="1"/>
  <c r="I26" i="7" s="1"/>
  <c r="F26" i="7" s="1"/>
  <c r="E55" i="2"/>
  <c r="I55" i="2" s="1"/>
  <c r="E58" i="2"/>
  <c r="I58" i="2" s="1"/>
  <c r="E52" i="2"/>
  <c r="I52" i="2" s="1"/>
  <c r="E50" i="2"/>
  <c r="I50" i="2" s="1"/>
  <c r="E59" i="2"/>
  <c r="I59" i="2" s="1"/>
  <c r="I25" i="7" s="1"/>
  <c r="F25" i="7" s="1"/>
  <c r="E57" i="2"/>
  <c r="I57" i="2" s="1"/>
  <c r="E51" i="2"/>
  <c r="I51" i="2" s="1"/>
  <c r="E60" i="2"/>
  <c r="I60" i="2" s="1"/>
  <c r="K54" i="7" l="1"/>
  <c r="K26" i="7"/>
  <c r="K60" i="7"/>
  <c r="K41" i="7"/>
  <c r="K56" i="7"/>
  <c r="K11" i="7"/>
  <c r="K39" i="7"/>
  <c r="K62" i="7"/>
  <c r="K25" i="7"/>
  <c r="K58" i="7"/>
  <c r="E54" i="7"/>
  <c r="E60" i="7"/>
  <c r="E26" i="7"/>
  <c r="E41" i="7"/>
  <c r="E56" i="7"/>
  <c r="E11" i="7"/>
  <c r="E39" i="7"/>
  <c r="E62" i="7"/>
  <c r="E25" i="7"/>
  <c r="E58" i="7"/>
  <c r="J88" i="2"/>
  <c r="G88" i="2" s="1"/>
  <c r="F70" i="2"/>
  <c r="J70" i="2" s="1"/>
  <c r="K70" i="2" s="1"/>
  <c r="I66" i="2"/>
  <c r="F66" i="2"/>
  <c r="J66" i="2" s="1"/>
  <c r="I53" i="7" s="1"/>
  <c r="F53" i="7" s="1"/>
  <c r="G63" i="2"/>
  <c r="J63" i="2"/>
  <c r="F67" i="2"/>
  <c r="J67" i="2" s="1"/>
  <c r="I55" i="7" s="1"/>
  <c r="F55" i="7" s="1"/>
  <c r="F71" i="2"/>
  <c r="J71" i="2" s="1"/>
  <c r="I63" i="7" s="1"/>
  <c r="F63" i="7" s="1"/>
  <c r="F69" i="2"/>
  <c r="J69" i="2" s="1"/>
  <c r="F68" i="2"/>
  <c r="J68" i="2" s="1"/>
  <c r="I57" i="7" s="1"/>
  <c r="F57" i="7" s="1"/>
  <c r="G77" i="2"/>
  <c r="I77" i="2"/>
  <c r="I45" i="7" s="1"/>
  <c r="F45" i="7" s="1"/>
  <c r="I76" i="2"/>
  <c r="I43" i="7" s="1"/>
  <c r="F43" i="7" s="1"/>
  <c r="G76" i="2"/>
  <c r="G54" i="2"/>
  <c r="H54" i="2" s="1"/>
  <c r="J54" i="2"/>
  <c r="I42" i="7" s="1"/>
  <c r="F42" i="7" s="1"/>
  <c r="G53" i="2"/>
  <c r="H53" i="2" s="1"/>
  <c r="J53" i="2"/>
  <c r="I40" i="7" s="1"/>
  <c r="F40" i="7" s="1"/>
  <c r="I3" i="7"/>
  <c r="F3" i="7" s="1"/>
  <c r="J65" i="2"/>
  <c r="I65" i="2"/>
  <c r="I19" i="7"/>
  <c r="F19" i="7" s="1"/>
  <c r="I23" i="7"/>
  <c r="F23" i="7" s="1"/>
  <c r="I9" i="7"/>
  <c r="F9" i="7" s="1"/>
  <c r="I13" i="7"/>
  <c r="F13" i="7" s="1"/>
  <c r="I31" i="7"/>
  <c r="F31" i="7" s="1"/>
  <c r="I21" i="7"/>
  <c r="F21" i="7" s="1"/>
  <c r="I35" i="7"/>
  <c r="F35" i="7" s="1"/>
  <c r="I29" i="7"/>
  <c r="F29" i="7" s="1"/>
  <c r="I5" i="7"/>
  <c r="F5" i="7" s="1"/>
  <c r="I15" i="7"/>
  <c r="F15" i="7" s="1"/>
  <c r="I17" i="7"/>
  <c r="F17" i="7" s="1"/>
  <c r="I7" i="7"/>
  <c r="F7" i="7" s="1"/>
  <c r="I33" i="7"/>
  <c r="F33" i="7" s="1"/>
  <c r="I27" i="7"/>
  <c r="F27" i="7" s="1"/>
  <c r="G80" i="2"/>
  <c r="G74" i="2"/>
  <c r="H74" i="2" s="1"/>
  <c r="G73" i="2"/>
  <c r="H73" i="2" s="1"/>
  <c r="G79" i="2"/>
  <c r="H79" i="2" s="1"/>
  <c r="I14" i="7"/>
  <c r="F14" i="7" s="1"/>
  <c r="H33" i="2"/>
  <c r="J73" i="2" s="1"/>
  <c r="G78" i="2"/>
  <c r="H78" i="2" s="1"/>
  <c r="G75" i="2"/>
  <c r="H75" i="2" s="1"/>
  <c r="G60" i="2"/>
  <c r="H60" i="2" s="1"/>
  <c r="G59" i="2"/>
  <c r="H59" i="2" s="1"/>
  <c r="G52" i="2"/>
  <c r="H52" i="2" s="1"/>
  <c r="G58" i="2"/>
  <c r="H58" i="2" s="1"/>
  <c r="G51" i="2"/>
  <c r="H51" i="2" s="1"/>
  <c r="G50" i="2"/>
  <c r="H50" i="2" s="1"/>
  <c r="G55" i="2"/>
  <c r="H55" i="2" s="1"/>
  <c r="G57" i="2"/>
  <c r="H57" i="2" s="1"/>
  <c r="G61" i="2"/>
  <c r="H61" i="2" s="1"/>
  <c r="G49" i="2"/>
  <c r="H49" i="2" s="1"/>
  <c r="G62" i="2"/>
  <c r="H62" i="2" s="1"/>
  <c r="K57" i="7" l="1"/>
  <c r="K7" i="7"/>
  <c r="K13" i="7"/>
  <c r="K40" i="7"/>
  <c r="K14" i="7"/>
  <c r="K17" i="7"/>
  <c r="K9" i="7"/>
  <c r="K23" i="7"/>
  <c r="K55" i="7"/>
  <c r="K5" i="7"/>
  <c r="K19" i="7"/>
  <c r="K42" i="7"/>
  <c r="K29" i="7"/>
  <c r="K43" i="7"/>
  <c r="K35" i="7"/>
  <c r="K45" i="7"/>
  <c r="K53" i="7"/>
  <c r="K33" i="7"/>
  <c r="K31" i="7"/>
  <c r="K63" i="7"/>
  <c r="K15" i="7"/>
  <c r="K27" i="7"/>
  <c r="K21" i="7"/>
  <c r="L3" i="7"/>
  <c r="K3" i="7"/>
  <c r="E40" i="7"/>
  <c r="E45" i="7"/>
  <c r="E27" i="7"/>
  <c r="E33" i="7"/>
  <c r="E31" i="7"/>
  <c r="E57" i="7"/>
  <c r="E7" i="7"/>
  <c r="E13" i="7"/>
  <c r="E35" i="7"/>
  <c r="E63" i="7"/>
  <c r="E3" i="7"/>
  <c r="E14" i="7"/>
  <c r="E9" i="7"/>
  <c r="E42" i="7"/>
  <c r="E15" i="7"/>
  <c r="E23" i="7"/>
  <c r="E55" i="7"/>
  <c r="E53" i="7"/>
  <c r="E21" i="7"/>
  <c r="E19" i="7"/>
  <c r="E17" i="7"/>
  <c r="E5" i="7"/>
  <c r="E29" i="7"/>
  <c r="E43" i="7"/>
  <c r="K67" i="2"/>
  <c r="J89" i="2"/>
  <c r="I50" i="7"/>
  <c r="F50" i="7" s="1"/>
  <c r="J92" i="2"/>
  <c r="G92" i="2" s="1"/>
  <c r="I51" i="7"/>
  <c r="F51" i="7" s="1"/>
  <c r="J93" i="2"/>
  <c r="E81" i="2"/>
  <c r="G70" i="2"/>
  <c r="G67" i="2"/>
  <c r="G69" i="2"/>
  <c r="I61" i="7"/>
  <c r="F61" i="7" s="1"/>
  <c r="G66" i="2"/>
  <c r="I12" i="7"/>
  <c r="F12" i="7" s="1"/>
  <c r="K63" i="2"/>
  <c r="K66" i="2"/>
  <c r="I52" i="7"/>
  <c r="F52" i="7" s="1"/>
  <c r="K71" i="2"/>
  <c r="K68" i="2"/>
  <c r="G71" i="2"/>
  <c r="G68" i="2"/>
  <c r="J76" i="2"/>
  <c r="I44" i="7" s="1"/>
  <c r="F44" i="7" s="1"/>
  <c r="J77" i="2"/>
  <c r="I46" i="7" s="1"/>
  <c r="F46" i="7" s="1"/>
  <c r="J75" i="2"/>
  <c r="I36" i="7" s="1"/>
  <c r="F36" i="7" s="1"/>
  <c r="K54" i="2"/>
  <c r="K53" i="2"/>
  <c r="K69" i="2"/>
  <c r="I59" i="7"/>
  <c r="F59" i="7" s="1"/>
  <c r="G65" i="2"/>
  <c r="J79" i="2"/>
  <c r="I28" i="7" s="1"/>
  <c r="F28" i="7" s="1"/>
  <c r="I32" i="7"/>
  <c r="F32" i="7" s="1"/>
  <c r="H38" i="2"/>
  <c r="J74" i="2"/>
  <c r="I34" i="7" s="1"/>
  <c r="F34" i="7" s="1"/>
  <c r="J78" i="2"/>
  <c r="K55" i="2"/>
  <c r="I6" i="7"/>
  <c r="F6" i="7" s="1"/>
  <c r="I8" i="7"/>
  <c r="F8" i="7" s="1"/>
  <c r="K73" i="2"/>
  <c r="I16" i="7"/>
  <c r="F16" i="7" s="1"/>
  <c r="I20" i="7"/>
  <c r="F20" i="7" s="1"/>
  <c r="I22" i="7"/>
  <c r="F22" i="7" s="1"/>
  <c r="K65" i="2"/>
  <c r="I24" i="7"/>
  <c r="F24" i="7" s="1"/>
  <c r="I18" i="7"/>
  <c r="F18" i="7" s="1"/>
  <c r="I10" i="7"/>
  <c r="F10" i="7" s="1"/>
  <c r="K46" i="7" l="1"/>
  <c r="K44" i="7"/>
  <c r="K12" i="7"/>
  <c r="K51" i="7"/>
  <c r="K20" i="7"/>
  <c r="K16" i="7"/>
  <c r="K28" i="7"/>
  <c r="K50" i="7"/>
  <c r="K10" i="7"/>
  <c r="K18" i="7"/>
  <c r="K6" i="7"/>
  <c r="K59" i="7"/>
  <c r="K61" i="7"/>
  <c r="K24" i="7"/>
  <c r="K32" i="7"/>
  <c r="K8" i="7"/>
  <c r="K36" i="7"/>
  <c r="K22" i="7"/>
  <c r="K34" i="7"/>
  <c r="K52" i="7"/>
  <c r="I66" i="7"/>
  <c r="E20" i="7"/>
  <c r="E36" i="7"/>
  <c r="E34" i="7"/>
  <c r="E46" i="7"/>
  <c r="E28" i="7"/>
  <c r="E44" i="7"/>
  <c r="E12" i="7"/>
  <c r="E51" i="7"/>
  <c r="E8" i="7"/>
  <c r="E22" i="7"/>
  <c r="E52" i="7"/>
  <c r="E61" i="7"/>
  <c r="E16" i="7"/>
  <c r="E10" i="7"/>
  <c r="E6" i="7"/>
  <c r="E24" i="7"/>
  <c r="E32" i="7"/>
  <c r="E18" i="7"/>
  <c r="E59" i="7"/>
  <c r="E50" i="7"/>
  <c r="K89" i="2"/>
  <c r="G89" i="2"/>
  <c r="K93" i="2"/>
  <c r="G93" i="2"/>
  <c r="L71" i="2"/>
  <c r="I81" i="2"/>
  <c r="K34" i="2"/>
  <c r="F81" i="2"/>
  <c r="J81" i="2" s="1"/>
  <c r="I38" i="7" s="1"/>
  <c r="F38" i="7" s="1"/>
  <c r="K76" i="2"/>
  <c r="G82" i="2"/>
  <c r="K77" i="2"/>
  <c r="E82" i="2"/>
  <c r="I4" i="7"/>
  <c r="F4" i="7" s="1"/>
  <c r="K78" i="2"/>
  <c r="I30" i="7"/>
  <c r="F30" i="7" s="1"/>
  <c r="K60" i="2"/>
  <c r="K61" i="2"/>
  <c r="K59" i="2"/>
  <c r="K49" i="2"/>
  <c r="K52" i="2"/>
  <c r="K51" i="2"/>
  <c r="K74" i="2"/>
  <c r="K75" i="2"/>
  <c r="K62" i="2"/>
  <c r="K58" i="2"/>
  <c r="K79" i="2"/>
  <c r="K57" i="2"/>
  <c r="K50" i="2"/>
  <c r="K38" i="7" l="1"/>
  <c r="K30" i="7"/>
  <c r="E64" i="7"/>
  <c r="E4" i="7"/>
  <c r="E30" i="7"/>
  <c r="E38" i="7"/>
  <c r="F66" i="7"/>
  <c r="C102" i="7" s="1"/>
  <c r="I82" i="2"/>
  <c r="J90" i="2"/>
  <c r="G90" i="2" s="1"/>
  <c r="L63" i="2"/>
  <c r="J91" i="2"/>
  <c r="F82" i="2"/>
  <c r="J82" i="2"/>
  <c r="I37" i="7"/>
  <c r="F37" i="7" s="1"/>
  <c r="K81" i="2"/>
  <c r="L81" i="2" s="1"/>
  <c r="K4" i="7" l="1"/>
  <c r="F65" i="7"/>
  <c r="C101" i="7" s="1"/>
  <c r="K37" i="7"/>
  <c r="I65" i="7"/>
  <c r="E37" i="7"/>
  <c r="E47" i="7" s="1"/>
  <c r="E67" i="7" s="1"/>
  <c r="N27" i="7"/>
  <c r="K91" i="2"/>
  <c r="G91" i="2"/>
  <c r="K82" i="2"/>
  <c r="J94" i="2"/>
  <c r="G94" i="2" s="1"/>
  <c r="E10" i="6"/>
  <c r="H3" i="6" s="1"/>
  <c r="I67" i="7" l="1"/>
  <c r="F67" i="7"/>
  <c r="H2" i="6"/>
  <c r="H4" i="6"/>
  <c r="K17" i="6" s="1"/>
  <c r="L17" i="6" s="1"/>
  <c r="K18" i="6"/>
  <c r="K19" i="6"/>
  <c r="L19" i="6" s="1"/>
  <c r="N19" i="6" s="1"/>
  <c r="M17" i="6" l="1"/>
  <c r="M19" i="6"/>
  <c r="O19" i="6" s="1"/>
  <c r="P19" i="6" s="1"/>
  <c r="Q19" i="6" s="1"/>
  <c r="R19" i="6" s="1"/>
  <c r="L18" i="6"/>
  <c r="L20" i="6" s="1"/>
  <c r="M18" i="6"/>
  <c r="O28" i="6"/>
  <c r="P28" i="6" s="1"/>
  <c r="K20" i="6"/>
  <c r="N17" i="6"/>
  <c r="O24" i="6"/>
  <c r="M20" i="6" l="1"/>
  <c r="Q28" i="6"/>
  <c r="R28" i="6" s="1"/>
  <c r="C76" i="7" s="1"/>
  <c r="F84" i="7" s="1"/>
  <c r="O26" i="6"/>
  <c r="N18" i="6"/>
  <c r="O18" i="6" s="1"/>
  <c r="P18" i="6" s="1"/>
  <c r="O17" i="6"/>
  <c r="P17" i="6" s="1"/>
  <c r="Q17" i="6" s="1"/>
  <c r="P24" i="6"/>
  <c r="Q24" i="6" s="1"/>
  <c r="W28" i="6" l="1"/>
  <c r="I76" i="7"/>
  <c r="E76" i="7" s="1"/>
  <c r="S28" i="6"/>
  <c r="Q18" i="6"/>
  <c r="R18" i="6" s="1"/>
  <c r="N20" i="6"/>
  <c r="R24" i="6"/>
  <c r="C72" i="7" s="1"/>
  <c r="F80" i="7" s="1"/>
  <c r="P26" i="6"/>
  <c r="Q26" i="6" s="1"/>
  <c r="R17" i="6"/>
  <c r="W24" i="6" l="1"/>
  <c r="I72" i="7"/>
  <c r="E72" i="7" s="1"/>
  <c r="S24" i="6"/>
  <c r="Q20" i="6"/>
  <c r="R20" i="6"/>
  <c r="R26" i="6"/>
  <c r="C74" i="7" l="1"/>
  <c r="D72" i="7"/>
  <c r="S26" i="6"/>
  <c r="T28" i="6" s="1"/>
  <c r="W26" i="6"/>
  <c r="I74" i="7"/>
  <c r="E74" i="7" s="1"/>
  <c r="E77" i="7" s="1"/>
  <c r="R29" i="6"/>
  <c r="D76" i="7" l="1"/>
  <c r="F82" i="7"/>
  <c r="C77" i="7"/>
  <c r="C100" i="7" s="1"/>
</calcChain>
</file>

<file path=xl/sharedStrings.xml><?xml version="1.0" encoding="utf-8"?>
<sst xmlns="http://schemas.openxmlformats.org/spreadsheetml/2006/main" count="890" uniqueCount="230">
  <si>
    <t>Capital Federal</t>
  </si>
  <si>
    <t>Provincias</t>
  </si>
  <si>
    <t>RECAUDACIÓN POR JUEGO / INSTANCIA</t>
  </si>
  <si>
    <t>Recaudación</t>
  </si>
  <si>
    <t>Participación</t>
  </si>
  <si>
    <t>Borratina Tradicional</t>
  </si>
  <si>
    <t>Loto Plus Desquite</t>
  </si>
  <si>
    <t>Loto Plus SOS</t>
  </si>
  <si>
    <t>Loto Plus Tradicional</t>
  </si>
  <si>
    <t>Loto 5 Plus</t>
  </si>
  <si>
    <t>Tombolina</t>
  </si>
  <si>
    <t>Lotería Tradicional</t>
  </si>
  <si>
    <t>SUMATORIA RECAUDACION</t>
  </si>
  <si>
    <t>Porcentaje
Ofertado</t>
  </si>
  <si>
    <t>Porcentaje con Reducción</t>
  </si>
  <si>
    <t>Valor a facturar 
= Fabricado * Fracción Ordinaria</t>
  </si>
  <si>
    <t>FACTURACION ON LINE - CAPITAL FEDERAL</t>
  </si>
  <si>
    <t>FACTURACION CONSOLIDACIÓN PROVINCIAS</t>
  </si>
  <si>
    <t>FACTURACIÓN BILLETES</t>
  </si>
  <si>
    <t>TOTALES</t>
  </si>
  <si>
    <t>TOPE ESTIPULADO</t>
  </si>
  <si>
    <t>EXCEDENTE - PORCENTAJE SOBRE TOPE</t>
  </si>
  <si>
    <t>LÍMITE DE REDUCCIÓN DE PORCENTAJE</t>
  </si>
  <si>
    <t>ON LINE</t>
  </si>
  <si>
    <t>3.1.1</t>
  </si>
  <si>
    <t>CONSOLIDACIÓN</t>
  </si>
  <si>
    <t>3.1.2</t>
  </si>
  <si>
    <t>LT</t>
  </si>
  <si>
    <t>3.1.3</t>
  </si>
  <si>
    <t>FACTURACIÓN</t>
  </si>
  <si>
    <t>Facturación UTE</t>
  </si>
  <si>
    <t>Dentro del tope</t>
  </si>
  <si>
    <t>Sobre el tope</t>
  </si>
  <si>
    <t>Total</t>
  </si>
  <si>
    <t>Control</t>
  </si>
  <si>
    <t>Importe sobre Recaudación dentro del Tope</t>
  </si>
  <si>
    <t>Descuento 16%  sobre Recaudación dentro del Tope</t>
  </si>
  <si>
    <t>Importe sobre Recaduación Sobre el Tope</t>
  </si>
  <si>
    <t>Descuento 16% sobre Recaduación Sobre el Tope</t>
  </si>
  <si>
    <t>Monto a Facturar</t>
  </si>
  <si>
    <t>Descuento 16%</t>
  </si>
  <si>
    <t>I.V.A.</t>
  </si>
  <si>
    <t>Quini6 Revancha</t>
  </si>
  <si>
    <t>Quini6 Siempre Sale</t>
  </si>
  <si>
    <t>Quini6 Tradicional</t>
  </si>
  <si>
    <t>Quiniela</t>
  </si>
  <si>
    <t>Quiniela Poceada</t>
  </si>
  <si>
    <t>FACTURACIÓN RECAUDACION EXCEDENTE AL TOPE</t>
  </si>
  <si>
    <t>juego</t>
  </si>
  <si>
    <t>BRINCO</t>
  </si>
  <si>
    <t>QUINIELA</t>
  </si>
  <si>
    <t>SUMATORIA RECAUDACION - PERIODO</t>
  </si>
  <si>
    <t>FACTURACION HIPICAS - CAPITAL FEDERAL</t>
  </si>
  <si>
    <t>San Isidro</t>
  </si>
  <si>
    <t>La Plata</t>
  </si>
  <si>
    <t>RECAUDACIÓN PALERMO</t>
  </si>
  <si>
    <t>Hípicas</t>
  </si>
  <si>
    <t>3.1.4</t>
  </si>
  <si>
    <t>01-12 al 07-12-2018</t>
  </si>
  <si>
    <t xml:space="preserve">SUMATORIA RECAUDACION - PERIODO </t>
  </si>
  <si>
    <t>FACTURACION HIPICAS - CAPITAL FEDERAL - HIPÓDROMO DE PALERMO</t>
  </si>
  <si>
    <t>Hípicas - Hipódromo de Palermo</t>
  </si>
  <si>
    <t>Palermo</t>
  </si>
  <si>
    <t>CANTIDAD</t>
  </si>
  <si>
    <t>UM</t>
  </si>
  <si>
    <t>CTRO COSTOS</t>
  </si>
  <si>
    <t>C/U</t>
  </si>
  <si>
    <t>LCBAJPA007</t>
  </si>
  <si>
    <t>LCBAJTA012</t>
  </si>
  <si>
    <t>LCBAJPA008</t>
  </si>
  <si>
    <t>LCBAJPA009</t>
  </si>
  <si>
    <t>LCBAJPA006</t>
  </si>
  <si>
    <t>LCBAJPA003</t>
  </si>
  <si>
    <t>LCBAJPA005</t>
  </si>
  <si>
    <t>LCBAJPA004</t>
  </si>
  <si>
    <t>LCBAJTA004</t>
  </si>
  <si>
    <t>LCBAJTA005</t>
  </si>
  <si>
    <t>LCBAJTA002</t>
  </si>
  <si>
    <t>LA GRANDE DE LA NACIONAL 3.1.3 completo 3%</t>
  </si>
  <si>
    <t>3.1.1 COMPLETO AL 6%</t>
  </si>
  <si>
    <t>3.1.1 COMPLETO AL 3%</t>
  </si>
  <si>
    <t>QUINI 6 TRADICIONAL</t>
  </si>
  <si>
    <t xml:space="preserve">Brinco </t>
  </si>
  <si>
    <t>LA QUINIELA CONJUNTA 3.1.1 completo 6%</t>
  </si>
  <si>
    <t>LA QUINIELA POCEADA 3.1.1 completo 6%</t>
  </si>
  <si>
    <t>LA QUINIELA TOMBOLINA 3.1.1 completo 6%</t>
  </si>
  <si>
    <t>BRINCO 3.1.1 reducido 4,5%</t>
  </si>
  <si>
    <t>LA QUINIELA CONJUNTA 3.1.1 reducido 4,5%</t>
  </si>
  <si>
    <t>LA QUINIELA POCEADA 3.1.1 reducido 4,5%</t>
  </si>
  <si>
    <t>LA QUINIELA TOMBOLINA 3.1.1 reducido 4,5%</t>
  </si>
  <si>
    <t>LOTO 5 3.1.1 reducido 4,5%</t>
  </si>
  <si>
    <t>LOTO DESQUITE 3.1.1 reducido 4,5%</t>
  </si>
  <si>
    <t>LOTO SALE O SALE 3.1.1 reducido 4,5%</t>
  </si>
  <si>
    <t>LOTO TRADICIONAL 3.1.1 reducido 4,5%</t>
  </si>
  <si>
    <t>QUINI 6 REVANCHA 3.1.1 reducido 4,5%</t>
  </si>
  <si>
    <t>QUINI 6 SIEMPRE SALE 3.1.1 reducido 4,5%</t>
  </si>
  <si>
    <t>QUINI 6 TRADICIONAL 3.1.1 reducido 4,5%</t>
  </si>
  <si>
    <t>LOTO 5 3.1.1 completo 6%</t>
  </si>
  <si>
    <t>LOTO DESQUITE 3.1.1 completo 6%</t>
  </si>
  <si>
    <t>LOTO SALE O SALE 3.1.1 completo 6%</t>
  </si>
  <si>
    <t>LOTO TRADICIONAL 3.1.1 completo6%</t>
  </si>
  <si>
    <t>QUINI 6 REVANCHA 3.1.1 completo 6%</t>
  </si>
  <si>
    <t>QUINI 6 SIEMPRE SALE 3.1.1 completo 6%</t>
  </si>
  <si>
    <t>QUINI 6 TRADICIONAL 3.1.1 completo 6%</t>
  </si>
  <si>
    <t>LA QUINIELA POCEADA 3.1.2 completo 3%</t>
  </si>
  <si>
    <t>LA QUINIELA POCEADA 3.1.2 reducido 2,25%</t>
  </si>
  <si>
    <t>LOTO 5 3.1.2 completo 3%</t>
  </si>
  <si>
    <t>LOTO 5 3.1.2 reducido 2,25%</t>
  </si>
  <si>
    <t>LOTO DESQUITE 3.1.2 reducido 2,25%</t>
  </si>
  <si>
    <t>LOTO SALE O SALE 3.1.2 reducido 2,25%</t>
  </si>
  <si>
    <t>LOTO TRADICIONAL 3.1.2 reducido 2,25%</t>
  </si>
  <si>
    <t xml:space="preserve"> 2,25%LA GRANDE DE LA NACIONAL 3.1.3 reducido</t>
  </si>
  <si>
    <t>LOTO DESQUITE 3.1.2 completo 3%</t>
  </si>
  <si>
    <t>LOTO SALE O SALE 3.1.2 completo 3%</t>
  </si>
  <si>
    <t>LOTO TRADICIONAL 3.1.2 completo 3%</t>
  </si>
  <si>
    <t>Recaudación Dentro del tope</t>
  </si>
  <si>
    <t>Recaudación 
Sobre el Tope</t>
  </si>
  <si>
    <t>vendidos</t>
  </si>
  <si>
    <t>valor ordinario</t>
  </si>
  <si>
    <t>valor venta</t>
  </si>
  <si>
    <t xml:space="preserve">la grande </t>
  </si>
  <si>
    <t>LOTO 5 PLUS</t>
  </si>
  <si>
    <t>numero</t>
  </si>
  <si>
    <t>recaudacion cap</t>
  </si>
  <si>
    <t>recaudacion prov</t>
  </si>
  <si>
    <t>LA PLATA</t>
  </si>
  <si>
    <t>SAN ISIDRO</t>
  </si>
  <si>
    <t>RECAUDACIÓN SAN ISIDRO Y LA PLATA + PALERMO</t>
  </si>
  <si>
    <t>la grande  para calcular no tocar</t>
  </si>
  <si>
    <t>saldo</t>
  </si>
  <si>
    <t>PALERMO COM.</t>
  </si>
  <si>
    <t>PALERMO REDUCIDO</t>
  </si>
  <si>
    <t>S.ISIDRO COMPLETO</t>
  </si>
  <si>
    <t>S.ISIDRO REDUCIDO</t>
  </si>
  <si>
    <t>L.PLATA COMP</t>
  </si>
  <si>
    <t>L.PLATA REDUC</t>
  </si>
  <si>
    <t>APUESTAS HIPICAS PALERMO completo</t>
  </si>
  <si>
    <t>APUESTAS HIPICAS PALERMO reducido</t>
  </si>
  <si>
    <t>APUESTAS HIPICAS SAN ISIDRO completo</t>
  </si>
  <si>
    <t>APUESTAS HIPICAS SAN ISIDRO reducido</t>
  </si>
  <si>
    <t>APUESTAS HIPICAS LA PLATA completo</t>
  </si>
  <si>
    <t>APUESTAS HIPICAS LA PLATA reducido</t>
  </si>
  <si>
    <t>FACTURACION INTERNET - CAPITAL FEDERAL</t>
  </si>
  <si>
    <t>web</t>
  </si>
  <si>
    <t>3.1.1bis</t>
  </si>
  <si>
    <t>JuegoCod</t>
  </si>
  <si>
    <t>juegoNom</t>
  </si>
  <si>
    <t>fecha</t>
  </si>
  <si>
    <t>sorteo</t>
  </si>
  <si>
    <t>onlineA</t>
  </si>
  <si>
    <t>onlineR</t>
  </si>
  <si>
    <t>cabaA</t>
  </si>
  <si>
    <t>cabaR</t>
  </si>
  <si>
    <t>totalA</t>
  </si>
  <si>
    <t>totalR</t>
  </si>
  <si>
    <t>LOTO SALE O SALE</t>
  </si>
  <si>
    <t>LOTO DESQUITE</t>
  </si>
  <si>
    <t>LOTO PLUS TRADICIONAL</t>
  </si>
  <si>
    <t>QUINI 6</t>
  </si>
  <si>
    <t>QUINI 6 REVANCHA</t>
  </si>
  <si>
    <t>QUINI 6 SIEMPRE SALE</t>
  </si>
  <si>
    <t>QUINIELA POCEADA</t>
  </si>
  <si>
    <t>TOMBOLINA</t>
  </si>
  <si>
    <t>QUINI 6 EXTRA</t>
  </si>
  <si>
    <t>LOTO MATCH</t>
  </si>
  <si>
    <t>LOTO NUMERO PLUS</t>
  </si>
  <si>
    <t>Quiniela web</t>
  </si>
  <si>
    <t>Loto Plus Desquite web</t>
  </si>
  <si>
    <t>Loto Plus SOS web</t>
  </si>
  <si>
    <t>Loto Plus Tradicional web</t>
  </si>
  <si>
    <t>LOTO MATCH web</t>
  </si>
  <si>
    <t>LOTO NUMERO PLUS web</t>
  </si>
  <si>
    <t>3.1.1.Bis COMPLETO AL 11%</t>
  </si>
  <si>
    <t>FACTURACION INTERNET -LOTO DESQUITE completo</t>
  </si>
  <si>
    <t>FACTURACION INTERNET -LOTO DESQUITE reducido</t>
  </si>
  <si>
    <t>FACTURACION INTERNET -LOTO SOS completo</t>
  </si>
  <si>
    <t>FACTURACION INTERNET -LOTO SOS reducido</t>
  </si>
  <si>
    <t>FACTURACION INTERNET -LOTO TRADICIONAL completo</t>
  </si>
  <si>
    <t>FACTURACION INTERNET -LOTO TRADICIONAL reducido</t>
  </si>
  <si>
    <t>FACTURACION INTERNET -LOTO MATCH completo</t>
  </si>
  <si>
    <t>FACTURACION INTERNET -LOTO MATCH reducido</t>
  </si>
  <si>
    <t>LOTO MATCH completo 3.1.1. completo 6%</t>
  </si>
  <si>
    <t>LOTO MATCH reducido 3.1.1. reducifo 4,5%</t>
  </si>
  <si>
    <t>WEB</t>
  </si>
  <si>
    <t>LOTO MATCH 3.1.2 completo 3%</t>
  </si>
  <si>
    <t>LOTO MATCH 3.1.2 reducido 2,25%</t>
  </si>
  <si>
    <t>FACTURACION INTERNET -LOTO MULTIPLICADOR completo</t>
  </si>
  <si>
    <t>FACTURACION INTERNET -LOTO MULTIPLICADOR reducido</t>
  </si>
  <si>
    <t>LOTO MULTIPLICADOR 3.1.2 completo 3%</t>
  </si>
  <si>
    <t>LOTO MULTIPLICADOR 3.1.2 reducido 2,25%</t>
  </si>
  <si>
    <t xml:space="preserve">LOTO MULTIPLICADOR 3.1.1. completo 6% </t>
  </si>
  <si>
    <t>LOTO MULTIPLICADOR 3.1.1. reducido 4,5%</t>
  </si>
  <si>
    <t>FACTURACION INTERNET -QUINIELA completo 14,65%</t>
  </si>
  <si>
    <t>FACTURACION INTERNET -QUINIELA reducido 11%</t>
  </si>
  <si>
    <t xml:space="preserve">TOTAL </t>
  </si>
  <si>
    <t>QUINIELA YA</t>
  </si>
  <si>
    <t>Quiniela Ya</t>
  </si>
  <si>
    <t>Quiniela Ya web</t>
  </si>
  <si>
    <t>QUINIELA YA 3.1.1 completo 6%</t>
  </si>
  <si>
    <t>QUINIELA YA 3.1.1 reducido 4,5%</t>
  </si>
  <si>
    <t>FACTURACION INTERNET -QUINIELA YA completo 14,65%</t>
  </si>
  <si>
    <t>FACTURACION INTERNET -QUINIELA YA reducido 11%</t>
  </si>
  <si>
    <t xml:space="preserve">CONSULTA IDENTIDAD RENAPER </t>
  </si>
  <si>
    <t xml:space="preserve">SERVICIO DE SMS </t>
  </si>
  <si>
    <t xml:space="preserve">PASARELAS DE PAGO </t>
  </si>
  <si>
    <t>SERVICIOS EN LA NUBE</t>
  </si>
  <si>
    <t>LCBAJOL007</t>
  </si>
  <si>
    <t>LCBAJOL014</t>
  </si>
  <si>
    <t>LCBAJOL011</t>
  </si>
  <si>
    <t>LCBAJOL012</t>
  </si>
  <si>
    <t>LCBAJOL009</t>
  </si>
  <si>
    <t>LCBAJOL010</t>
  </si>
  <si>
    <t>LCBAJOL013</t>
  </si>
  <si>
    <t>SUB TOTAL</t>
  </si>
  <si>
    <t>PALERMO</t>
  </si>
  <si>
    <t>BRINCO 3.1.1 completo  6%</t>
  </si>
  <si>
    <t>PARA CARGAR:
"1) MIRAR BALANCE Y CARGAR:
VENTA NETA MATERIAL DE JUEGO"
2) MIRAR LOS ARCHIVOS tjd  y hacer la cuenta +venta-cancelacion-devolucion</t>
  </si>
  <si>
    <t>comparar con la UTE</t>
  </si>
  <si>
    <t>Comparar con el cuadro de la UTE
copiar la columna O</t>
  </si>
  <si>
    <t>LCBAJPA012</t>
  </si>
  <si>
    <t>LCBAJPA013</t>
  </si>
  <si>
    <t>LCBAJPA011</t>
  </si>
  <si>
    <t>LA GRANDE DE LA CIUDAD</t>
  </si>
  <si>
    <t>LCBAJPA010</t>
  </si>
  <si>
    <t>LCBAJTA011</t>
  </si>
  <si>
    <t>LCBAJTA010</t>
  </si>
  <si>
    <t>LCBAJTA009</t>
  </si>
  <si>
    <t>COPIAR Y PEGAR ESTO, OJO ES                     HES3</t>
  </si>
  <si>
    <t>Hipicas</t>
  </si>
  <si>
    <t>Lotericos caba y pcias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</si>
</sst>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3" formatCode="_-* #,##0.00_-;\-* #,##0.00_-;_-* &quot;-&quot;??_-;_-@_-"/>
    <numFmt numFmtId="164" formatCode="&quot;$&quot;\ #,##0.00;\-&quot;$&quot;\ #,##0.0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 &quot;$&quot;* #,##0.00_ ;_ &quot;$&quot;* \-#,##0.00_ ;_ &quot;$&quot;* &quot;-&quot;??_ ;_ @_ "/>
    <numFmt numFmtId="172" formatCode="0.0000%"/>
    <numFmt numFmtId="173" formatCode="&quot;$&quot;#,##0.00;&quot;$&quot;\-#,##0.00"/>
    <numFmt numFmtId="174" formatCode="0.000%"/>
    <numFmt numFmtId="175" formatCode="_ &quot;$&quot;* #,##0.0000_ ;_ &quot;$&quot;* \-#,##0.0000_ ;_ &quot;$&quot;* &quot;-&quot;??_ ;_ @_ "/>
    <numFmt numFmtId="176" formatCode="&quot;$&quot;\ #,##0.00"/>
    <numFmt numFmtId="177" formatCode="_(* #,##0_);_(* \(#,##0\);_(* &quot;-&quot;??_);_(@_)"/>
    <numFmt numFmtId="178" formatCode="0.0000"/>
    <numFmt numFmtId="179" formatCode="#,##0.000000"/>
    <numFmt numFmtId="180" formatCode="_-* #,##0.0000_-;\-* #,##0.0000_-;_-* &quot;-&quot;????_-;_-@_-"/>
    <numFmt numFmtId="181" formatCode="#,##0.00_ ;\-#,##0.00\ "/>
    <numFmt numFmtId="182" formatCode="0.000000"/>
    <numFmt numFmtId="183" formatCode="#,##0.00000"/>
    <numFmt numFmtId="184" formatCode="&quot;$&quot;#,##0.000;&quot;$&quot;\-#,##0.000"/>
    <numFmt numFmtId="185" formatCode="_(* #,##0.00000_);_(* \(#,##0.00000\);_(* &quot;-&quot;??_);_(@_)"/>
    <numFmt numFmtId="186" formatCode="_-&quot;$&quot;\ * #,##0.0000_-;\-&quot;$&quot;\ * #,##0.0000_-;_-&quot;$&quot;\ * &quot;-&quot;????_-;_-@_-"/>
    <numFmt numFmtId="187" formatCode="0.000000%"/>
    <numFmt numFmtId="188" formatCode="&quot;$&quot;\ #,##0.00;&quot;$&quot;\ \-#,##0.00"/>
    <numFmt numFmtId="189" formatCode="_ * #,##0.000_ ;_ * \-#,##0.000_ ;_ * &quot;-&quot;??_ ;_ @_ "/>
    <numFmt numFmtId="190" formatCode="_(&quot;$&quot;* #,##0.000_);_(&quot;$&quot;* \(#,##0.000\);_(&quot;$&quot;* &quot;-&quot;??_);_(@_)"/>
    <numFmt numFmtId="191" formatCode="_-&quot;$&quot;\ * #,##0.0000_-;\-&quot;$&quot;\ * #,##0.0000_-;_-&quot;$&quot;\ * &quot;-&quot;???_-;_-@_-"/>
    <numFmt numFmtId="192" formatCode="#,##0_ ;\-#,##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0"/>
      <name val="Courier"/>
    </font>
    <font>
      <sz val="10"/>
      <name val="Arial"/>
    </font>
    <font>
      <sz val="8"/>
      <color rgb="FF32363A"/>
      <name val="Lucida Console"/>
      <family val="3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</borders>
  <cellStyleXfs count="59">
    <xf numFmtId="0" fontId="0" fillId="0" borderId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0" borderId="0"/>
    <xf numFmtId="0" fontId="6" fillId="0" borderId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2" fillId="14" borderId="0" applyNumberFormat="0" applyBorder="0" applyAlignment="0" applyProtection="0"/>
    <xf numFmtId="0" fontId="16" fillId="30" borderId="31" applyNumberFormat="0" applyAlignment="0" applyProtection="0"/>
    <xf numFmtId="0" fontId="18" fillId="31" borderId="32" applyNumberFormat="0" applyAlignment="0" applyProtection="0"/>
    <xf numFmtId="0" fontId="17" fillId="0" borderId="33" applyNumberFormat="0" applyFill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9" borderId="0" applyNumberFormat="0" applyBorder="0" applyAlignment="0" applyProtection="0"/>
    <xf numFmtId="0" fontId="14" fillId="17" borderId="31" applyNumberFormat="0" applyAlignment="0" applyProtection="0"/>
    <xf numFmtId="0" fontId="13" fillId="13" borderId="0" applyNumberFormat="0" applyBorder="0" applyAlignment="0" applyProtection="0"/>
    <xf numFmtId="0" fontId="3" fillId="32" borderId="37" applyNumberFormat="0" applyFont="0" applyAlignment="0" applyProtection="0"/>
    <xf numFmtId="9" fontId="3" fillId="0" borderId="0" applyFont="0" applyFill="0" applyBorder="0" applyAlignment="0" applyProtection="0"/>
    <xf numFmtId="0" fontId="15" fillId="30" borderId="3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4" applyNumberFormat="0" applyFill="0" applyAlignment="0" applyProtection="0"/>
    <xf numFmtId="0" fontId="10" fillId="0" borderId="35" applyNumberFormat="0" applyFill="0" applyAlignment="0" applyProtection="0"/>
    <xf numFmtId="0" fontId="11" fillId="0" borderId="36" applyNumberFormat="0" applyFill="0" applyAlignment="0" applyProtection="0"/>
    <xf numFmtId="43" fontId="6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23" fillId="0" borderId="0"/>
    <xf numFmtId="166" fontId="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</cellStyleXfs>
  <cellXfs count="25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9" fontId="2" fillId="0" borderId="0" xfId="2" applyFont="1" applyFill="1" applyBorder="1" applyAlignment="1">
      <alignment horizontal="center"/>
    </xf>
    <xf numFmtId="172" fontId="2" fillId="0" borderId="8" xfId="2" applyNumberFormat="1" applyFont="1" applyBorder="1"/>
    <xf numFmtId="169" fontId="2" fillId="0" borderId="9" xfId="2" applyFont="1" applyBorder="1"/>
    <xf numFmtId="0" fontId="2" fillId="0" borderId="10" xfId="0" applyFont="1" applyBorder="1" applyAlignment="1">
      <alignment horizontal="right"/>
    </xf>
    <xf numFmtId="169" fontId="2" fillId="0" borderId="9" xfId="2" applyFont="1" applyFill="1" applyBorder="1"/>
    <xf numFmtId="14" fontId="2" fillId="0" borderId="13" xfId="0" applyNumberFormat="1" applyFont="1" applyBorder="1" applyAlignment="1">
      <alignment horizontal="center"/>
    </xf>
    <xf numFmtId="169" fontId="2" fillId="3" borderId="5" xfId="2" applyFont="1" applyFill="1" applyBorder="1" applyAlignment="1">
      <alignment horizontal="center"/>
    </xf>
    <xf numFmtId="172" fontId="2" fillId="3" borderId="15" xfId="2" applyNumberFormat="1" applyFont="1" applyFill="1" applyBorder="1"/>
    <xf numFmtId="169" fontId="2" fillId="3" borderId="3" xfId="2" applyFont="1" applyFill="1" applyBorder="1" applyAlignment="1">
      <alignment horizontal="center"/>
    </xf>
    <xf numFmtId="169" fontId="2" fillId="0" borderId="0" xfId="2" applyFont="1" applyBorder="1" applyAlignment="1">
      <alignment horizontal="center"/>
    </xf>
    <xf numFmtId="14" fontId="2" fillId="2" borderId="4" xfId="0" applyNumberFormat="1" applyFont="1" applyFill="1" applyBorder="1" applyAlignment="1">
      <alignment horizontal="left"/>
    </xf>
    <xf numFmtId="14" fontId="2" fillId="2" borderId="6" xfId="0" applyNumberFormat="1" applyFont="1" applyFill="1" applyBorder="1" applyAlignment="1">
      <alignment horizontal="center"/>
    </xf>
    <xf numFmtId="173" fontId="2" fillId="2" borderId="5" xfId="2" applyNumberFormat="1" applyFont="1" applyFill="1" applyBorder="1" applyAlignment="1">
      <alignment horizontal="center" wrapText="1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69" fontId="2" fillId="0" borderId="16" xfId="2" applyFont="1" applyBorder="1" applyAlignment="1">
      <alignment horizontal="center"/>
    </xf>
    <xf numFmtId="172" fontId="2" fillId="0" borderId="6" xfId="2" applyNumberFormat="1" applyFont="1" applyBorder="1"/>
    <xf numFmtId="172" fontId="2" fillId="0" borderId="16" xfId="3" applyNumberFormat="1" applyFont="1" applyBorder="1"/>
    <xf numFmtId="172" fontId="2" fillId="0" borderId="6" xfId="3" applyNumberFormat="1" applyFont="1" applyBorder="1"/>
    <xf numFmtId="174" fontId="0" fillId="0" borderId="0" xfId="3" applyNumberFormat="1" applyFont="1"/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169" fontId="2" fillId="0" borderId="18" xfId="2" applyFont="1" applyFill="1" applyBorder="1" applyAlignment="1">
      <alignment horizontal="center"/>
    </xf>
    <xf numFmtId="172" fontId="2" fillId="0" borderId="20" xfId="2" applyNumberFormat="1" applyFont="1" applyBorder="1"/>
    <xf numFmtId="172" fontId="2" fillId="0" borderId="18" xfId="3" applyNumberFormat="1" applyFont="1" applyBorder="1"/>
    <xf numFmtId="172" fontId="2" fillId="0" borderId="11" xfId="3" applyNumberFormat="1" applyFont="1" applyBorder="1"/>
    <xf numFmtId="169" fontId="2" fillId="0" borderId="5" xfId="2" applyFont="1" applyFill="1" applyBorder="1" applyAlignment="1">
      <alignment horizontal="center"/>
    </xf>
    <xf numFmtId="172" fontId="2" fillId="3" borderId="5" xfId="2" applyNumberFormat="1" applyFont="1" applyFill="1" applyBorder="1"/>
    <xf numFmtId="173" fontId="2" fillId="3" borderId="5" xfId="2" applyNumberFormat="1" applyFont="1" applyFill="1" applyBorder="1"/>
    <xf numFmtId="171" fontId="2" fillId="0" borderId="0" xfId="2" applyNumberFormat="1" applyFont="1" applyBorder="1"/>
    <xf numFmtId="169" fontId="2" fillId="0" borderId="0" xfId="2" applyFont="1" applyBorder="1"/>
    <xf numFmtId="173" fontId="2" fillId="0" borderId="0" xfId="2" applyNumberFormat="1" applyFont="1" applyBorder="1"/>
    <xf numFmtId="0" fontId="2" fillId="0" borderId="0" xfId="0" applyFont="1" applyAlignment="1">
      <alignment horizontal="right"/>
    </xf>
    <xf numFmtId="172" fontId="2" fillId="0" borderId="0" xfId="2" applyNumberFormat="1" applyFont="1" applyBorder="1"/>
    <xf numFmtId="0" fontId="2" fillId="0" borderId="9" xfId="0" applyFont="1" applyBorder="1" applyAlignment="1">
      <alignment horizontal="right"/>
    </xf>
    <xf numFmtId="171" fontId="2" fillId="0" borderId="0" xfId="0" applyNumberFormat="1" applyFont="1"/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wrapText="1"/>
    </xf>
    <xf numFmtId="172" fontId="2" fillId="0" borderId="0" xfId="0" applyNumberFormat="1" applyFont="1" applyAlignment="1">
      <alignment horizontal="center"/>
    </xf>
    <xf numFmtId="174" fontId="2" fillId="0" borderId="0" xfId="3" applyNumberFormat="1" applyFont="1" applyBorder="1"/>
    <xf numFmtId="172" fontId="2" fillId="0" borderId="0" xfId="3" applyNumberFormat="1" applyFont="1" applyBorder="1"/>
    <xf numFmtId="0" fontId="0" fillId="0" borderId="0" xfId="0" applyAlignment="1">
      <alignment horizontal="center"/>
    </xf>
    <xf numFmtId="175" fontId="2" fillId="0" borderId="0" xfId="2" applyNumberFormat="1" applyFont="1" applyBorder="1"/>
    <xf numFmtId="0" fontId="2" fillId="0" borderId="0" xfId="0" applyFont="1"/>
    <xf numFmtId="172" fontId="2" fillId="0" borderId="0" xfId="3" applyNumberFormat="1" applyFont="1" applyBorder="1" applyAlignment="1">
      <alignment horizontal="center"/>
    </xf>
    <xf numFmtId="169" fontId="2" fillId="2" borderId="6" xfId="2" applyFont="1" applyFill="1" applyBorder="1" applyAlignment="1">
      <alignment horizontal="center"/>
    </xf>
    <xf numFmtId="173" fontId="2" fillId="2" borderId="6" xfId="2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172" fontId="2" fillId="0" borderId="21" xfId="3" applyNumberFormat="1" applyFont="1" applyBorder="1" applyAlignment="1">
      <alignment horizontal="center"/>
    </xf>
    <xf numFmtId="169" fontId="2" fillId="0" borderId="22" xfId="2" applyFont="1" applyBorder="1" applyAlignment="1">
      <alignment horizontal="center"/>
    </xf>
    <xf numFmtId="172" fontId="2" fillId="0" borderId="22" xfId="3" applyNumberFormat="1" applyFont="1" applyBorder="1"/>
    <xf numFmtId="169" fontId="2" fillId="0" borderId="22" xfId="2" applyFont="1" applyBorder="1"/>
    <xf numFmtId="173" fontId="2" fillId="0" borderId="22" xfId="2" applyNumberFormat="1" applyFont="1" applyBorder="1"/>
    <xf numFmtId="173" fontId="2" fillId="0" borderId="10" xfId="2" applyNumberFormat="1" applyFont="1" applyFill="1" applyBorder="1"/>
    <xf numFmtId="169" fontId="2" fillId="0" borderId="10" xfId="2" applyFont="1" applyFill="1" applyBorder="1"/>
    <xf numFmtId="169" fontId="2" fillId="0" borderId="21" xfId="2" applyFont="1" applyBorder="1" applyAlignment="1">
      <alignment horizontal="center"/>
    </xf>
    <xf numFmtId="169" fontId="2" fillId="0" borderId="21" xfId="2" applyFont="1" applyBorder="1"/>
    <xf numFmtId="176" fontId="0" fillId="0" borderId="0" xfId="0" applyNumberFormat="1" applyAlignment="1">
      <alignment horizontal="center"/>
    </xf>
    <xf numFmtId="0" fontId="2" fillId="0" borderId="9" xfId="0" applyFont="1" applyBorder="1"/>
    <xf numFmtId="169" fontId="2" fillId="0" borderId="20" xfId="2" applyFont="1" applyBorder="1" applyAlignment="1">
      <alignment horizontal="center"/>
    </xf>
    <xf numFmtId="172" fontId="2" fillId="3" borderId="15" xfId="0" applyNumberFormat="1" applyFont="1" applyFill="1" applyBorder="1"/>
    <xf numFmtId="0" fontId="2" fillId="2" borderId="15" xfId="0" applyFont="1" applyFill="1" applyBorder="1"/>
    <xf numFmtId="14" fontId="2" fillId="2" borderId="5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73" fontId="2" fillId="2" borderId="5" xfId="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69" fontId="2" fillId="0" borderId="1" xfId="2" applyFont="1" applyBorder="1" applyAlignment="1">
      <alignment horizontal="center"/>
    </xf>
    <xf numFmtId="172" fontId="2" fillId="0" borderId="1" xfId="3" applyNumberFormat="1" applyFont="1" applyBorder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172" fontId="2" fillId="0" borderId="12" xfId="3" applyNumberFormat="1" applyFont="1" applyBorder="1"/>
    <xf numFmtId="169" fontId="2" fillId="2" borderId="6" xfId="2" applyFont="1" applyFill="1" applyBorder="1" applyAlignment="1">
      <alignment horizontal="center" vertical="center"/>
    </xf>
    <xf numFmtId="173" fontId="2" fillId="2" borderId="6" xfId="2" applyNumberFormat="1" applyFont="1" applyFill="1" applyBorder="1" applyAlignment="1">
      <alignment horizontal="center" vertical="center"/>
    </xf>
    <xf numFmtId="173" fontId="2" fillId="0" borderId="23" xfId="2" applyNumberFormat="1" applyFont="1" applyBorder="1" applyAlignment="1">
      <alignment horizontal="right"/>
    </xf>
    <xf numFmtId="173" fontId="2" fillId="0" borderId="25" xfId="2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72" fontId="2" fillId="0" borderId="5" xfId="3" applyNumberFormat="1" applyFont="1" applyBorder="1"/>
    <xf numFmtId="0" fontId="3" fillId="0" borderId="0" xfId="4"/>
    <xf numFmtId="0" fontId="2" fillId="5" borderId="24" xfId="4" applyFont="1" applyFill="1" applyBorder="1"/>
    <xf numFmtId="0" fontId="2" fillId="4" borderId="24" xfId="4" applyFont="1" applyFill="1" applyBorder="1"/>
    <xf numFmtId="0" fontId="2" fillId="2" borderId="24" xfId="4" applyFont="1" applyFill="1" applyBorder="1"/>
    <xf numFmtId="0" fontId="2" fillId="0" borderId="0" xfId="4" applyFont="1"/>
    <xf numFmtId="170" fontId="0" fillId="0" borderId="0" xfId="1" applyFont="1"/>
    <xf numFmtId="170" fontId="0" fillId="0" borderId="0" xfId="1" applyFont="1" applyBorder="1"/>
    <xf numFmtId="0" fontId="2" fillId="0" borderId="21" xfId="3" applyNumberFormat="1" applyFont="1" applyBorder="1" applyAlignment="1">
      <alignment horizontal="center"/>
    </xf>
    <xf numFmtId="0" fontId="2" fillId="0" borderId="20" xfId="3" applyNumberFormat="1" applyFont="1" applyBorder="1" applyAlignment="1">
      <alignment horizontal="center"/>
    </xf>
    <xf numFmtId="169" fontId="0" fillId="0" borderId="0" xfId="2" applyFont="1"/>
    <xf numFmtId="169" fontId="0" fillId="0" borderId="0" xfId="0" applyNumberFormat="1"/>
    <xf numFmtId="169" fontId="2" fillId="0" borderId="5" xfId="2" applyFont="1" applyBorder="1" applyAlignment="1">
      <alignment horizontal="center"/>
    </xf>
    <xf numFmtId="173" fontId="2" fillId="0" borderId="20" xfId="2" applyNumberFormat="1" applyFont="1" applyBorder="1"/>
    <xf numFmtId="173" fontId="2" fillId="7" borderId="5" xfId="2" applyNumberFormat="1" applyFont="1" applyFill="1" applyBorder="1"/>
    <xf numFmtId="172" fontId="2" fillId="0" borderId="26" xfId="3" applyNumberFormat="1" applyFont="1" applyBorder="1"/>
    <xf numFmtId="0" fontId="0" fillId="7" borderId="15" xfId="0" applyFill="1" applyBorder="1"/>
    <xf numFmtId="172" fontId="2" fillId="0" borderId="24" xfId="3" applyNumberFormat="1" applyFont="1" applyBorder="1"/>
    <xf numFmtId="2" fontId="0" fillId="0" borderId="0" xfId="0" applyNumberFormat="1"/>
    <xf numFmtId="178" fontId="0" fillId="0" borderId="0" xfId="0" applyNumberFormat="1"/>
    <xf numFmtId="4" fontId="3" fillId="0" borderId="0" xfId="6" applyNumberFormat="1" applyFont="1"/>
    <xf numFmtId="4" fontId="3" fillId="0" borderId="0" xfId="4" applyNumberFormat="1"/>
    <xf numFmtId="4" fontId="2" fillId="0" borderId="0" xfId="6" applyNumberFormat="1" applyFont="1" applyFill="1"/>
    <xf numFmtId="4" fontId="3" fillId="0" borderId="0" xfId="6" applyNumberFormat="1" applyFont="1" applyFill="1"/>
    <xf numFmtId="4" fontId="0" fillId="0" borderId="0" xfId="0" applyNumberFormat="1"/>
    <xf numFmtId="173" fontId="2" fillId="0" borderId="5" xfId="2" applyNumberFormat="1" applyFont="1" applyFill="1" applyBorder="1"/>
    <xf numFmtId="173" fontId="2" fillId="0" borderId="27" xfId="2" applyNumberFormat="1" applyFont="1" applyBorder="1" applyAlignment="1">
      <alignment horizontal="center"/>
    </xf>
    <xf numFmtId="177" fontId="0" fillId="0" borderId="0" xfId="1" applyNumberFormat="1" applyFont="1" applyBorder="1"/>
    <xf numFmtId="166" fontId="0" fillId="0" borderId="0" xfId="0" applyNumberFormat="1"/>
    <xf numFmtId="179" fontId="2" fillId="0" borderId="0" xfId="2" applyNumberFormat="1" applyFont="1" applyBorder="1" applyAlignment="1">
      <alignment horizontal="center"/>
    </xf>
    <xf numFmtId="173" fontId="2" fillId="0" borderId="8" xfId="2" applyNumberFormat="1" applyFont="1" applyFill="1" applyBorder="1"/>
    <xf numFmtId="9" fontId="2" fillId="2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0" fillId="0" borderId="0" xfId="1" applyNumberFormat="1" applyFont="1" applyBorder="1"/>
    <xf numFmtId="177" fontId="0" fillId="0" borderId="0" xfId="1" applyNumberFormat="1" applyFont="1"/>
    <xf numFmtId="180" fontId="0" fillId="0" borderId="0" xfId="0" applyNumberFormat="1"/>
    <xf numFmtId="181" fontId="3" fillId="0" borderId="0" xfId="6" applyNumberFormat="1" applyFont="1" applyFill="1"/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14" fontId="2" fillId="0" borderId="29" xfId="0" applyNumberFormat="1" applyFont="1" applyBorder="1" applyAlignment="1">
      <alignment horizontal="center"/>
    </xf>
    <xf numFmtId="182" fontId="0" fillId="0" borderId="0" xfId="0" applyNumberFormat="1"/>
    <xf numFmtId="183" fontId="0" fillId="0" borderId="0" xfId="0" applyNumberFormat="1"/>
    <xf numFmtId="184" fontId="2" fillId="0" borderId="0" xfId="2" applyNumberFormat="1" applyFont="1" applyBorder="1"/>
    <xf numFmtId="185" fontId="2" fillId="0" borderId="8" xfId="1" applyNumberFormat="1" applyFont="1" applyBorder="1" applyAlignment="1">
      <alignment horizontal="center"/>
    </xf>
    <xf numFmtId="172" fontId="2" fillId="0" borderId="20" xfId="3" applyNumberFormat="1" applyFont="1" applyBorder="1"/>
    <xf numFmtId="14" fontId="0" fillId="0" borderId="0" xfId="0" applyNumberFormat="1"/>
    <xf numFmtId="0" fontId="2" fillId="8" borderId="1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8" borderId="0" xfId="0" applyFont="1" applyFill="1" applyAlignment="1">
      <alignment horizontal="right"/>
    </xf>
    <xf numFmtId="186" fontId="0" fillId="0" borderId="0" xfId="0" applyNumberFormat="1"/>
    <xf numFmtId="187" fontId="2" fillId="0" borderId="21" xfId="2" applyNumberFormat="1" applyFont="1" applyBorder="1"/>
    <xf numFmtId="169" fontId="2" fillId="3" borderId="0" xfId="2" applyFont="1" applyFill="1" applyBorder="1" applyAlignment="1">
      <alignment horizontal="center"/>
    </xf>
    <xf numFmtId="172" fontId="2" fillId="3" borderId="0" xfId="2" applyNumberFormat="1" applyFont="1" applyFill="1" applyBorder="1"/>
    <xf numFmtId="169" fontId="2" fillId="9" borderId="0" xfId="2" applyFont="1" applyFill="1" applyBorder="1" applyAlignment="1">
      <alignment horizontal="center"/>
    </xf>
    <xf numFmtId="169" fontId="2" fillId="9" borderId="9" xfId="2" applyFont="1" applyFill="1" applyBorder="1"/>
    <xf numFmtId="0" fontId="2" fillId="0" borderId="30" xfId="4" applyFont="1" applyBorder="1"/>
    <xf numFmtId="4" fontId="2" fillId="0" borderId="0" xfId="6" applyNumberFormat="1" applyFont="1"/>
    <xf numFmtId="4" fontId="2" fillId="0" borderId="5" xfId="6" applyNumberFormat="1" applyFont="1" applyFill="1" applyBorder="1"/>
    <xf numFmtId="0" fontId="2" fillId="10" borderId="0" xfId="0" applyFont="1" applyFill="1" applyAlignment="1">
      <alignment horizontal="left"/>
    </xf>
    <xf numFmtId="181" fontId="2" fillId="0" borderId="0" xfId="6" applyNumberFormat="1" applyFont="1" applyFill="1"/>
    <xf numFmtId="0" fontId="2" fillId="11" borderId="24" xfId="4" applyFont="1" applyFill="1" applyBorder="1"/>
    <xf numFmtId="0" fontId="0" fillId="0" borderId="0" xfId="0" applyAlignment="1">
      <alignment horizontal="right"/>
    </xf>
    <xf numFmtId="181" fontId="3" fillId="0" borderId="0" xfId="4" applyNumberFormat="1"/>
    <xf numFmtId="4" fontId="2" fillId="0" borderId="0" xfId="6" applyNumberFormat="1" applyFont="1" applyFill="1" applyBorder="1"/>
    <xf numFmtId="0" fontId="3" fillId="33" borderId="0" xfId="4" applyFill="1"/>
    <xf numFmtId="4" fontId="5" fillId="0" borderId="0" xfId="0" applyNumberFormat="1" applyFont="1"/>
    <xf numFmtId="4" fontId="0" fillId="0" borderId="0" xfId="1" applyNumberFormat="1" applyFont="1" applyFill="1"/>
    <xf numFmtId="0" fontId="2" fillId="6" borderId="24" xfId="4" applyFont="1" applyFill="1" applyBorder="1"/>
    <xf numFmtId="0" fontId="0" fillId="0" borderId="24" xfId="0" applyBorder="1"/>
    <xf numFmtId="3" fontId="3" fillId="0" borderId="24" xfId="0" applyNumberFormat="1" applyFont="1" applyBorder="1" applyAlignment="1">
      <alignment horizontal="right" vertical="center"/>
    </xf>
    <xf numFmtId="2" fontId="3" fillId="6" borderId="0" xfId="0" applyNumberFormat="1" applyFont="1" applyFill="1" applyAlignment="1">
      <alignment horizontal="right" vertical="center"/>
    </xf>
    <xf numFmtId="1" fontId="2" fillId="0" borderId="0" xfId="2" applyNumberFormat="1" applyFont="1" applyFill="1" applyBorder="1" applyAlignment="1">
      <alignment horizontal="left" vertical="center"/>
    </xf>
    <xf numFmtId="168" fontId="2" fillId="0" borderId="0" xfId="2" applyNumberFormat="1" applyFont="1" applyFill="1"/>
    <xf numFmtId="168" fontId="3" fillId="0" borderId="0" xfId="2" applyNumberFormat="1" applyFont="1"/>
    <xf numFmtId="173" fontId="0" fillId="0" borderId="0" xfId="0" applyNumberFormat="1"/>
    <xf numFmtId="173" fontId="0" fillId="8" borderId="0" xfId="0" applyNumberFormat="1" applyFill="1"/>
    <xf numFmtId="43" fontId="0" fillId="0" borderId="0" xfId="0" applyNumberFormat="1"/>
    <xf numFmtId="0" fontId="2" fillId="8" borderId="0" xfId="0" applyFont="1" applyFill="1"/>
    <xf numFmtId="0" fontId="0" fillId="8" borderId="0" xfId="0" applyFill="1"/>
    <xf numFmtId="0" fontId="2" fillId="8" borderId="0" xfId="0" applyFont="1" applyFill="1" applyAlignment="1">
      <alignment horizontal="center"/>
    </xf>
    <xf numFmtId="168" fontId="5" fillId="0" borderId="0" xfId="0" applyNumberFormat="1" applyFont="1"/>
    <xf numFmtId="164" fontId="22" fillId="8" borderId="0" xfId="52" applyNumberFormat="1" applyFill="1"/>
    <xf numFmtId="165" fontId="2" fillId="0" borderId="0" xfId="0" applyNumberFormat="1" applyFont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73" fontId="3" fillId="8" borderId="0" xfId="52" applyNumberFormat="1" applyFont="1" applyFill="1"/>
    <xf numFmtId="188" fontId="22" fillId="0" borderId="0" xfId="52" applyNumberFormat="1"/>
    <xf numFmtId="164" fontId="22" fillId="0" borderId="0" xfId="52" applyNumberFormat="1"/>
    <xf numFmtId="0" fontId="0" fillId="0" borderId="24" xfId="1" applyNumberFormat="1" applyFont="1" applyBorder="1"/>
    <xf numFmtId="189" fontId="0" fillId="0" borderId="0" xfId="2" applyNumberFormat="1" applyFont="1"/>
    <xf numFmtId="190" fontId="2" fillId="0" borderId="0" xfId="2" applyNumberFormat="1" applyFont="1"/>
    <xf numFmtId="190" fontId="2" fillId="0" borderId="10" xfId="2" applyNumberFormat="1" applyFont="1" applyFill="1" applyBorder="1"/>
    <xf numFmtId="190" fontId="2" fillId="0" borderId="0" xfId="2" applyNumberFormat="1" applyFont="1" applyFill="1"/>
    <xf numFmtId="190" fontId="2" fillId="0" borderId="0" xfId="2" quotePrefix="1" applyNumberFormat="1" applyFont="1"/>
    <xf numFmtId="190" fontId="3" fillId="0" borderId="0" xfId="2" applyNumberFormat="1" applyFont="1" applyFill="1"/>
    <xf numFmtId="190" fontId="2" fillId="0" borderId="5" xfId="2" applyNumberFormat="1" applyFont="1" applyFill="1" applyBorder="1"/>
    <xf numFmtId="190" fontId="5" fillId="0" borderId="0" xfId="2" applyNumberFormat="1" applyFont="1"/>
    <xf numFmtId="190" fontId="0" fillId="0" borderId="0" xfId="0" applyNumberFormat="1"/>
    <xf numFmtId="190" fontId="3" fillId="0" borderId="0" xfId="4" applyNumberFormat="1"/>
    <xf numFmtId="190" fontId="3" fillId="0" borderId="0" xfId="6" applyNumberFormat="1" applyFont="1" applyFill="1"/>
    <xf numFmtId="190" fontId="5" fillId="0" borderId="0" xfId="2" applyNumberFormat="1" applyFont="1" applyFill="1"/>
    <xf numFmtId="191" fontId="2" fillId="0" borderId="0" xfId="4" applyNumberFormat="1" applyFont="1"/>
    <xf numFmtId="191" fontId="3" fillId="0" borderId="0" xfId="4" applyNumberFormat="1"/>
    <xf numFmtId="191" fontId="0" fillId="0" borderId="0" xfId="0" applyNumberFormat="1"/>
    <xf numFmtId="165" fontId="0" fillId="0" borderId="0" xfId="0" applyNumberFormat="1"/>
    <xf numFmtId="169" fontId="2" fillId="8" borderId="18" xfId="2" applyFont="1" applyFill="1" applyBorder="1" applyAlignment="1">
      <alignment horizontal="center"/>
    </xf>
    <xf numFmtId="173" fontId="2" fillId="0" borderId="0" xfId="2" applyNumberFormat="1" applyFont="1" applyFill="1" applyBorder="1"/>
    <xf numFmtId="173" fontId="2" fillId="0" borderId="9" xfId="2" applyNumberFormat="1" applyFont="1" applyFill="1" applyBorder="1"/>
    <xf numFmtId="0" fontId="3" fillId="34" borderId="0" xfId="4" applyFill="1"/>
    <xf numFmtId="0" fontId="0" fillId="34" borderId="0" xfId="0" applyFill="1"/>
    <xf numFmtId="4" fontId="0" fillId="34" borderId="0" xfId="0" applyNumberFormat="1" applyFill="1"/>
    <xf numFmtId="4" fontId="3" fillId="34" borderId="0" xfId="6" applyNumberFormat="1" applyFont="1" applyFill="1"/>
    <xf numFmtId="189" fontId="3" fillId="34" borderId="0" xfId="2" applyNumberFormat="1" applyFont="1" applyFill="1"/>
    <xf numFmtId="0" fontId="0" fillId="34" borderId="0" xfId="0" applyFill="1" applyAlignment="1">
      <alignment horizontal="left"/>
    </xf>
    <xf numFmtId="1" fontId="2" fillId="34" borderId="39" xfId="56" applyNumberFormat="1" applyFont="1" applyFill="1" applyBorder="1" applyAlignment="1">
      <alignment vertical="center"/>
    </xf>
    <xf numFmtId="168" fontId="3" fillId="0" borderId="0" xfId="2" applyNumberFormat="1" applyFont="1" applyFill="1"/>
    <xf numFmtId="168" fontId="0" fillId="0" borderId="0" xfId="2" applyNumberFormat="1" applyFont="1"/>
    <xf numFmtId="168" fontId="2" fillId="0" borderId="5" xfId="2" applyNumberFormat="1" applyFont="1" applyFill="1" applyBorder="1"/>
    <xf numFmtId="168" fontId="3" fillId="34" borderId="0" xfId="2" applyNumberFormat="1" applyFont="1" applyFill="1"/>
    <xf numFmtId="168" fontId="25" fillId="0" borderId="0" xfId="0" applyNumberFormat="1" applyFont="1"/>
    <xf numFmtId="167" fontId="3" fillId="34" borderId="0" xfId="6" applyFont="1" applyFill="1"/>
    <xf numFmtId="4" fontId="0" fillId="34" borderId="0" xfId="0" applyNumberFormat="1" applyFill="1" applyAlignment="1">
      <alignment horizontal="left"/>
    </xf>
    <xf numFmtId="192" fontId="2" fillId="0" borderId="0" xfId="2" applyNumberFormat="1" applyFont="1" applyFill="1" applyBorder="1"/>
    <xf numFmtId="192" fontId="0" fillId="0" borderId="0" xfId="0" applyNumberFormat="1"/>
    <xf numFmtId="0" fontId="5" fillId="0" borderId="0" xfId="0" applyFont="1" applyAlignment="1">
      <alignment horizontal="center"/>
    </xf>
    <xf numFmtId="0" fontId="0" fillId="8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9" fontId="2" fillId="2" borderId="1" xfId="2" applyFont="1" applyFill="1" applyBorder="1" applyAlignment="1">
      <alignment horizontal="center"/>
    </xf>
    <xf numFmtId="169" fontId="2" fillId="2" borderId="2" xfId="2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5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169" fontId="2" fillId="2" borderId="3" xfId="2" applyFont="1" applyFill="1" applyBorder="1" applyAlignment="1">
      <alignment horizontal="center"/>
    </xf>
    <xf numFmtId="169" fontId="2" fillId="2" borderId="4" xfId="2" applyFont="1" applyFill="1" applyBorder="1" applyAlignment="1">
      <alignment horizontal="center"/>
    </xf>
    <xf numFmtId="169" fontId="2" fillId="2" borderId="15" xfId="2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2" fillId="2" borderId="15" xfId="0" applyNumberFormat="1" applyFont="1" applyFill="1" applyBorder="1" applyAlignment="1">
      <alignment horizontal="center" vertical="center"/>
    </xf>
  </cellXfs>
  <cellStyles count="59">
    <cellStyle name="20% - Énfasis1 2" xfId="9" xr:uid="{589152A7-FC2C-4B53-B5BD-AFC72472DA19}"/>
    <cellStyle name="20% - Énfasis2 2" xfId="10" xr:uid="{EA774EFD-7C30-4A18-B9EB-5445657AF174}"/>
    <cellStyle name="20% - Énfasis3 2" xfId="11" xr:uid="{25B9BD73-9412-465C-8AD5-8EE54E802E6B}"/>
    <cellStyle name="20% - Énfasis4 2" xfId="12" xr:uid="{7A929C8E-CDE4-448C-9476-8D5DBE649D4D}"/>
    <cellStyle name="20% - Énfasis5 2" xfId="13" xr:uid="{7E2364DF-6FCC-446A-91E6-E3A3A64B47DB}"/>
    <cellStyle name="20% - Énfasis6 2" xfId="14" xr:uid="{4DFE12B1-9828-4C8C-8367-2F09FDAA7650}"/>
    <cellStyle name="40% - Énfasis1 2" xfId="15" xr:uid="{2D138710-94F0-4B34-8CE8-BE5236A583CA}"/>
    <cellStyle name="40% - Énfasis2 2" xfId="16" xr:uid="{26701AD0-E07E-453B-85BA-25A047956BDA}"/>
    <cellStyle name="40% - Énfasis3 2" xfId="17" xr:uid="{A266339A-277B-4FBC-BA4A-1DE4B9158C47}"/>
    <cellStyle name="40% - Énfasis4 2" xfId="18" xr:uid="{8D79DC6C-FD3E-4A17-A71D-0BF850DE831C}"/>
    <cellStyle name="40% - Énfasis5 2" xfId="19" xr:uid="{06DB064E-E6D9-4BB8-9E19-B9008360A5D3}"/>
    <cellStyle name="40% - Énfasis6 2" xfId="20" xr:uid="{D2B88A2F-45B6-41EB-A771-C4EEFBEC5F39}"/>
    <cellStyle name="60% - Énfasis1 2" xfId="21" xr:uid="{4A8C0F48-1D4A-4388-9DEA-C8103A0568F1}"/>
    <cellStyle name="60% - Énfasis2 2" xfId="22" xr:uid="{A765A615-475A-4412-9EF0-8DA56000BCFF}"/>
    <cellStyle name="60% - Énfasis3 2" xfId="23" xr:uid="{345978C1-8A21-4F40-9C91-136587EB25B0}"/>
    <cellStyle name="60% - Énfasis4 2" xfId="24" xr:uid="{E24EB36E-2E1B-4148-A260-40A4E252E8D5}"/>
    <cellStyle name="60% - Énfasis5 2" xfId="25" xr:uid="{F462EA4C-6CD0-4692-A672-854E8B99E216}"/>
    <cellStyle name="60% - Énfasis6 2" xfId="26" xr:uid="{35DAFAA9-61E9-44DC-9974-82FAFF6BC2F3}"/>
    <cellStyle name="Buena" xfId="27" xr:uid="{57449CE2-002E-477E-8BF4-FAF2712E0C76}"/>
    <cellStyle name="Cálculo 2" xfId="28" xr:uid="{1B4A9F5D-EB7A-496C-A6F8-32BC9031ACCC}"/>
    <cellStyle name="Celda de comprobación 2" xfId="29" xr:uid="{F98717D6-8BE9-4F70-BF49-6A3C64B1CF70}"/>
    <cellStyle name="Celda vinculada 2" xfId="30" xr:uid="{C084A0CC-A5C3-4CF6-A470-1AA446C5190D}"/>
    <cellStyle name="Currency 2" xfId="32" xr:uid="{6010D98F-976C-4359-B6D3-1E7A8CBD83EA}"/>
    <cellStyle name="Currency 2 2" xfId="54" xr:uid="{012FD963-8AF1-4A53-A901-A7F78BBD98D9}"/>
    <cellStyle name="Encabezado 4 2" xfId="33" xr:uid="{167FA276-A628-45F1-9D75-080FF64405A3}"/>
    <cellStyle name="Énfasis1 2" xfId="34" xr:uid="{D0E98482-AE90-4A89-B914-F41764451DE8}"/>
    <cellStyle name="Énfasis2 2" xfId="35" xr:uid="{F091BA95-483A-49DD-9E2D-BB6C4761092D}"/>
    <cellStyle name="Énfasis3 2" xfId="36" xr:uid="{FCD73D07-4F87-4F54-9A2B-A8675E04BF32}"/>
    <cellStyle name="Énfasis4 2" xfId="37" xr:uid="{ACF15F22-C62C-4E44-A5E5-82F5A1FE677F}"/>
    <cellStyle name="Énfasis5 2" xfId="38" xr:uid="{AAD9BB08-B6E2-46ED-B7C9-9E94C3E7823D}"/>
    <cellStyle name="Énfasis6 2" xfId="39" xr:uid="{A42435A3-CD65-44EC-AFCD-238FB34236BF}"/>
    <cellStyle name="Entrada 2" xfId="40" xr:uid="{6D9F17D0-5853-4362-B907-83F8C9118103}"/>
    <cellStyle name="Incorrecto 2" xfId="41" xr:uid="{E3AB27ED-6AE1-4E0C-9D51-27046B1DD2F5}"/>
    <cellStyle name="Millares" xfId="1" builtinId="3"/>
    <cellStyle name="Millares 2" xfId="5" xr:uid="{00000000-0005-0000-0000-000001000000}"/>
    <cellStyle name="Millares 3" xfId="51" xr:uid="{613E45E6-3807-4E87-8DF2-452AD73A7EEA}"/>
    <cellStyle name="Millares 4" xfId="53" xr:uid="{B30BB456-BA38-4E3B-BE28-F50CC1261FB7}"/>
    <cellStyle name="Millares 5" xfId="58" xr:uid="{E950B877-6FE5-4591-8601-165FBA95BA5A}"/>
    <cellStyle name="Moneda" xfId="2" builtinId="4"/>
    <cellStyle name="Moneda 2" xfId="6" xr:uid="{00000000-0005-0000-0000-000003000000}"/>
    <cellStyle name="Moneda 3" xfId="31" xr:uid="{48E0BDA2-6B86-476A-AE9A-E1BCEE11F8E4}"/>
    <cellStyle name="Moneda 4" xfId="56" xr:uid="{6F046BD3-2DCE-483F-8077-CF1F84E85C0B}"/>
    <cellStyle name="Normal" xfId="0" builtinId="0"/>
    <cellStyle name="Normal 2" xfId="4" xr:uid="{00000000-0005-0000-0000-000005000000}"/>
    <cellStyle name="Normal 3" xfId="7" xr:uid="{00000000-0005-0000-0000-000006000000}"/>
    <cellStyle name="Normal 4" xfId="8" xr:uid="{D7897C6E-D9C5-4025-9365-2F63315CF787}"/>
    <cellStyle name="Normal 5" xfId="52" xr:uid="{6E019AB9-EF89-4EB8-B886-3CAFD99A6D40}"/>
    <cellStyle name="Normal 6" xfId="55" xr:uid="{AE78E8E1-E408-42EB-BB55-C4406BDDE40F}"/>
    <cellStyle name="Normal 7" xfId="57" xr:uid="{B1E0653B-BAB2-4B0E-B009-EBAAA48FAC84}"/>
    <cellStyle name="Notas 2" xfId="42" xr:uid="{56013C0C-EE91-4293-ABC8-7DBB7F05B3D4}"/>
    <cellStyle name="Porcentaje" xfId="3" builtinId="5"/>
    <cellStyle name="Porcentaje 2" xfId="43" xr:uid="{54F1EBCE-CD8E-4F71-AE3D-8D8243C00F23}"/>
    <cellStyle name="Salida 2" xfId="44" xr:uid="{64DF71E8-45D5-44B5-9EA2-A7E731E53B8F}"/>
    <cellStyle name="Texto de advertencia 2" xfId="45" xr:uid="{7C7C6214-8B9B-4601-9E80-53DD9ECF3D59}"/>
    <cellStyle name="Texto explicativo 2" xfId="46" xr:uid="{18E26AF8-63D1-4D4B-A6B0-6F77976DBB9E}"/>
    <cellStyle name="Título 1" xfId="48" xr:uid="{B454D181-0982-478A-BA14-86089533B82E}"/>
    <cellStyle name="Título 2 2" xfId="49" xr:uid="{3B14E924-A857-41D1-9DAD-D7A05EA6A647}"/>
    <cellStyle name="Título 3 2" xfId="50" xr:uid="{54F57B00-70D8-4A5E-888F-D885991796F2}"/>
    <cellStyle name="Título 4" xfId="47" xr:uid="{9CA712D7-A58E-4B56-9D23-D8FB34306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70"/>
  <sheetViews>
    <sheetView tabSelected="1" topLeftCell="A62" zoomScaleNormal="100" workbookViewId="0">
      <selection activeCell="F83" sqref="F83:F84"/>
    </sheetView>
  </sheetViews>
  <sheetFormatPr baseColWidth="10" defaultRowHeight="15" x14ac:dyDescent="0.25"/>
  <cols>
    <col min="1" max="1" width="21.5703125" bestFit="1" customWidth="1"/>
    <col min="2" max="2" width="55.140625" bestFit="1" customWidth="1"/>
    <col min="3" max="3" width="16.28515625" bestFit="1" customWidth="1"/>
    <col min="4" max="4" width="16.42578125" bestFit="1" customWidth="1"/>
    <col min="5" max="5" width="20.42578125" style="115" hidden="1" customWidth="1"/>
    <col min="6" max="6" width="26.5703125" style="207" bestFit="1" customWidth="1"/>
    <col min="7" max="7" width="15.85546875" bestFit="1" customWidth="1"/>
    <col min="8" max="8" width="13.42578125" bestFit="1" customWidth="1"/>
    <col min="9" max="9" width="17" style="187" bestFit="1" customWidth="1"/>
    <col min="10" max="10" width="24.7109375" bestFit="1" customWidth="1"/>
    <col min="11" max="11" width="16.140625" style="194" bestFit="1" customWidth="1"/>
    <col min="12" max="14" width="14.85546875" bestFit="1" customWidth="1"/>
  </cols>
  <sheetData>
    <row r="1" spans="1:12" x14ac:dyDescent="0.25">
      <c r="B1" s="158"/>
      <c r="C1" s="92" t="s">
        <v>63</v>
      </c>
      <c r="D1" s="92" t="s">
        <v>64</v>
      </c>
      <c r="E1" s="111"/>
      <c r="F1" s="206"/>
      <c r="G1" s="115"/>
      <c r="H1" s="96" t="s">
        <v>65</v>
      </c>
      <c r="I1" s="181"/>
      <c r="K1" s="192"/>
    </row>
    <row r="2" spans="1:12" x14ac:dyDescent="0.25">
      <c r="B2" s="157"/>
      <c r="C2" s="92">
        <v>1</v>
      </c>
      <c r="D2" s="92" t="s">
        <v>66</v>
      </c>
      <c r="E2" s="114"/>
      <c r="F2" s="206"/>
      <c r="G2" s="112"/>
      <c r="H2" s="92"/>
      <c r="I2" s="181"/>
      <c r="K2" s="193"/>
    </row>
    <row r="3" spans="1:12" x14ac:dyDescent="0.25">
      <c r="A3" s="57">
        <v>3000000378</v>
      </c>
      <c r="B3" s="93" t="s">
        <v>215</v>
      </c>
      <c r="C3" s="92">
        <v>1</v>
      </c>
      <c r="D3" s="92" t="s">
        <v>66</v>
      </c>
      <c r="E3" s="114">
        <f t="shared" ref="E3:E33" si="0">I3</f>
        <v>8602.1023569455647</v>
      </c>
      <c r="F3" s="207">
        <f>ROUND(I3,3)</f>
        <v>8602.1020000000008</v>
      </c>
      <c r="G3" s="115"/>
      <c r="H3" s="155" t="s">
        <v>68</v>
      </c>
      <c r="I3" s="182">
        <f>'total gral.'!I49</f>
        <v>8602.1023569455647</v>
      </c>
      <c r="J3" s="57" t="s">
        <v>82</v>
      </c>
      <c r="K3" s="193">
        <f>I3-F3</f>
        <v>3.569455639080843E-4</v>
      </c>
      <c r="L3" s="188">
        <f>TRUNC(I3,3)</f>
        <v>8602.1020000000008</v>
      </c>
    </row>
    <row r="4" spans="1:12" x14ac:dyDescent="0.25">
      <c r="A4" s="57">
        <v>3000000377</v>
      </c>
      <c r="B4" s="93" t="s">
        <v>86</v>
      </c>
      <c r="C4" s="92">
        <v>1</v>
      </c>
      <c r="D4" s="92" t="s">
        <v>66</v>
      </c>
      <c r="E4" s="114">
        <f>I4</f>
        <v>1761113.3160322912</v>
      </c>
      <c r="F4" s="207">
        <f t="shared" ref="F4:F63" si="1">ROUND(I4,3)</f>
        <v>1761113.3160000001</v>
      </c>
      <c r="G4" s="115"/>
      <c r="H4" s="155" t="s">
        <v>68</v>
      </c>
      <c r="I4" s="182">
        <f>'total gral.'!J49</f>
        <v>1761113.3160322912</v>
      </c>
      <c r="K4" s="193">
        <f t="shared" ref="K4:K63" si="2">I4-F4</f>
        <v>3.2291049137711525E-5</v>
      </c>
    </row>
    <row r="5" spans="1:12" x14ac:dyDescent="0.25">
      <c r="A5" s="46">
        <v>3000000380</v>
      </c>
      <c r="B5" s="93" t="s">
        <v>83</v>
      </c>
      <c r="C5" s="92">
        <v>1</v>
      </c>
      <c r="D5" s="92" t="s">
        <v>66</v>
      </c>
      <c r="E5" s="114">
        <f>I5</f>
        <v>2920760.5054649855</v>
      </c>
      <c r="F5" s="207">
        <f t="shared" si="1"/>
        <v>2920760.5049999999</v>
      </c>
      <c r="G5" s="115"/>
      <c r="H5" s="155" t="s">
        <v>67</v>
      </c>
      <c r="I5" s="182">
        <f>'total gral.'!I60</f>
        <v>2920760.5054649855</v>
      </c>
      <c r="J5" s="1" t="s">
        <v>45</v>
      </c>
      <c r="K5" s="193">
        <f t="shared" si="2"/>
        <v>4.6498561277985573E-4</v>
      </c>
    </row>
    <row r="6" spans="1:12" x14ac:dyDescent="0.25">
      <c r="A6" s="46">
        <v>3000000379</v>
      </c>
      <c r="B6" s="93" t="s">
        <v>87</v>
      </c>
      <c r="C6" s="92">
        <v>1</v>
      </c>
      <c r="D6" s="92" t="s">
        <v>66</v>
      </c>
      <c r="E6" s="114">
        <f>I6</f>
        <v>597968962.19938123</v>
      </c>
      <c r="F6" s="207">
        <f t="shared" si="1"/>
        <v>597968962.199</v>
      </c>
      <c r="G6" s="115"/>
      <c r="H6" s="155" t="s">
        <v>67</v>
      </c>
      <c r="I6" s="182">
        <f>'total gral.'!J60</f>
        <v>597968962.19938123</v>
      </c>
      <c r="K6" s="193">
        <f t="shared" si="2"/>
        <v>3.8123130798339844E-4</v>
      </c>
    </row>
    <row r="7" spans="1:12" x14ac:dyDescent="0.25">
      <c r="A7" s="1">
        <v>3000000382</v>
      </c>
      <c r="B7" s="93" t="s">
        <v>84</v>
      </c>
      <c r="C7" s="92">
        <v>1</v>
      </c>
      <c r="D7" s="92" t="s">
        <v>66</v>
      </c>
      <c r="E7" s="114">
        <f t="shared" si="0"/>
        <v>206281.61642159827</v>
      </c>
      <c r="F7" s="207">
        <f t="shared" si="1"/>
        <v>206281.61600000001</v>
      </c>
      <c r="G7" s="115"/>
      <c r="H7" s="155" t="s">
        <v>69</v>
      </c>
      <c r="I7" s="182">
        <f>'total gral.'!I61</f>
        <v>206281.61642159827</v>
      </c>
      <c r="J7" s="1" t="s">
        <v>46</v>
      </c>
      <c r="K7" s="193">
        <f t="shared" si="2"/>
        <v>4.2159826261922717E-4</v>
      </c>
    </row>
    <row r="8" spans="1:12" x14ac:dyDescent="0.25">
      <c r="A8" s="1">
        <v>3000000381</v>
      </c>
      <c r="B8" s="93" t="s">
        <v>88</v>
      </c>
      <c r="C8" s="92">
        <v>1</v>
      </c>
      <c r="D8" s="92" t="s">
        <v>66</v>
      </c>
      <c r="E8" s="114">
        <f t="shared" si="0"/>
        <v>42232152.845683798</v>
      </c>
      <c r="F8" s="207">
        <f t="shared" si="1"/>
        <v>42232152.846000001</v>
      </c>
      <c r="G8" s="115"/>
      <c r="H8" s="155" t="s">
        <v>69</v>
      </c>
      <c r="I8" s="182">
        <f>'total gral.'!J61</f>
        <v>42232152.845683798</v>
      </c>
      <c r="K8" s="193">
        <f t="shared" si="2"/>
        <v>-3.1620264053344727E-4</v>
      </c>
    </row>
    <row r="9" spans="1:12" x14ac:dyDescent="0.25">
      <c r="A9" s="1">
        <v>3000000386</v>
      </c>
      <c r="B9" s="93" t="s">
        <v>85</v>
      </c>
      <c r="C9" s="92">
        <v>1</v>
      </c>
      <c r="D9" s="92" t="s">
        <v>66</v>
      </c>
      <c r="E9" s="114">
        <f t="shared" si="0"/>
        <v>3404.5934039895606</v>
      </c>
      <c r="F9" s="207">
        <f t="shared" si="1"/>
        <v>3404.5929999999998</v>
      </c>
      <c r="G9" s="115"/>
      <c r="H9" s="155" t="s">
        <v>70</v>
      </c>
      <c r="I9" s="182">
        <f>'total gral.'!I62</f>
        <v>3404.5934039895606</v>
      </c>
      <c r="J9" s="1" t="s">
        <v>10</v>
      </c>
      <c r="K9" s="193">
        <f t="shared" si="2"/>
        <v>4.0398956070930581E-4</v>
      </c>
    </row>
    <row r="10" spans="1:12" x14ac:dyDescent="0.25">
      <c r="A10" s="1">
        <v>3000000385</v>
      </c>
      <c r="B10" s="93" t="s">
        <v>89</v>
      </c>
      <c r="C10" s="92">
        <v>1</v>
      </c>
      <c r="D10" s="92" t="s">
        <v>66</v>
      </c>
      <c r="E10" s="114">
        <f t="shared" si="0"/>
        <v>697024.34714700794</v>
      </c>
      <c r="F10" s="207">
        <f t="shared" si="1"/>
        <v>697024.34699999995</v>
      </c>
      <c r="G10" s="115"/>
      <c r="H10" s="155" t="s">
        <v>70</v>
      </c>
      <c r="I10" s="182">
        <f>'total gral.'!J62</f>
        <v>697024.34714700794</v>
      </c>
      <c r="K10" s="193">
        <f t="shared" si="2"/>
        <v>1.4700798783451319E-4</v>
      </c>
    </row>
    <row r="11" spans="1:12" x14ac:dyDescent="0.25">
      <c r="A11" s="2">
        <v>3000000562</v>
      </c>
      <c r="B11" s="93" t="s">
        <v>198</v>
      </c>
      <c r="C11" s="92">
        <v>1</v>
      </c>
      <c r="D11" s="92" t="s">
        <v>66</v>
      </c>
      <c r="E11" s="114">
        <f t="shared" si="0"/>
        <v>6633.2062759253686</v>
      </c>
      <c r="F11" s="207">
        <f t="shared" si="1"/>
        <v>6633.2060000000001</v>
      </c>
      <c r="G11" s="115"/>
      <c r="H11" s="155" t="s">
        <v>221</v>
      </c>
      <c r="I11" s="182">
        <f>'total gral.'!I63</f>
        <v>6633.2062759253686</v>
      </c>
      <c r="J11" t="s">
        <v>196</v>
      </c>
      <c r="K11" s="193">
        <f t="shared" si="2"/>
        <v>2.7592536844167626E-4</v>
      </c>
    </row>
    <row r="12" spans="1:12" x14ac:dyDescent="0.25">
      <c r="A12" s="2">
        <v>3000000563</v>
      </c>
      <c r="B12" s="93" t="s">
        <v>199</v>
      </c>
      <c r="C12" s="92">
        <v>1</v>
      </c>
      <c r="D12" s="92" t="s">
        <v>66</v>
      </c>
      <c r="E12" s="114">
        <f t="shared" si="0"/>
        <v>1358020.0997130561</v>
      </c>
      <c r="F12" s="207">
        <f t="shared" si="1"/>
        <v>1358020.1</v>
      </c>
      <c r="G12" s="115"/>
      <c r="H12" s="155" t="s">
        <v>221</v>
      </c>
      <c r="I12" s="182">
        <f>'total gral.'!J63</f>
        <v>1358020.0997130561</v>
      </c>
      <c r="K12" s="193">
        <f t="shared" si="2"/>
        <v>-2.8694397769868374E-4</v>
      </c>
    </row>
    <row r="13" spans="1:12" x14ac:dyDescent="0.25">
      <c r="A13" s="57">
        <v>3000000388</v>
      </c>
      <c r="B13" s="93" t="s">
        <v>97</v>
      </c>
      <c r="C13" s="92">
        <v>1</v>
      </c>
      <c r="D13" s="92" t="s">
        <v>66</v>
      </c>
      <c r="E13" s="114">
        <f t="shared" si="0"/>
        <v>5780.2217105814007</v>
      </c>
      <c r="F13" s="207">
        <f t="shared" si="1"/>
        <v>5780.2219999999998</v>
      </c>
      <c r="G13" s="115"/>
      <c r="H13" s="155" t="s">
        <v>71</v>
      </c>
      <c r="I13" s="182">
        <f>'total gral.'!I55</f>
        <v>5780.2217105814007</v>
      </c>
      <c r="J13" s="57" t="s">
        <v>9</v>
      </c>
      <c r="K13" s="193">
        <f t="shared" si="2"/>
        <v>-2.8941859909537015E-4</v>
      </c>
    </row>
    <row r="14" spans="1:12" x14ac:dyDescent="0.25">
      <c r="A14" s="57">
        <v>3000000387</v>
      </c>
      <c r="B14" s="93" t="s">
        <v>90</v>
      </c>
      <c r="C14" s="92">
        <v>1</v>
      </c>
      <c r="D14" s="92" t="s">
        <v>66</v>
      </c>
      <c r="E14" s="114">
        <f t="shared" si="0"/>
        <v>1183388.083717064</v>
      </c>
      <c r="F14" s="207">
        <f t="shared" si="1"/>
        <v>1183388.084</v>
      </c>
      <c r="G14" s="115"/>
      <c r="H14" s="155" t="s">
        <v>71</v>
      </c>
      <c r="I14" s="182">
        <f>'total gral.'!J55</f>
        <v>1183388.083717064</v>
      </c>
      <c r="K14" s="193">
        <f t="shared" si="2"/>
        <v>-2.8293603099882603E-4</v>
      </c>
    </row>
    <row r="15" spans="1:12" x14ac:dyDescent="0.25">
      <c r="A15" s="57">
        <v>3000000392</v>
      </c>
      <c r="B15" s="93" t="s">
        <v>98</v>
      </c>
      <c r="C15" s="92">
        <v>1</v>
      </c>
      <c r="D15" s="92" t="s">
        <v>66</v>
      </c>
      <c r="E15" s="114">
        <f t="shared" si="0"/>
        <v>32250.347268288304</v>
      </c>
      <c r="F15" s="207">
        <f t="shared" si="1"/>
        <v>32250.347000000002</v>
      </c>
      <c r="G15" s="115"/>
      <c r="H15" s="155" t="s">
        <v>72</v>
      </c>
      <c r="I15" s="182">
        <f>'total gral.'!I50</f>
        <v>32250.347268288304</v>
      </c>
      <c r="J15" s="57" t="s">
        <v>6</v>
      </c>
      <c r="K15" s="193">
        <f t="shared" si="2"/>
        <v>2.682883023226168E-4</v>
      </c>
    </row>
    <row r="16" spans="1:12" x14ac:dyDescent="0.25">
      <c r="A16" s="57">
        <v>3000000391</v>
      </c>
      <c r="B16" s="93" t="s">
        <v>91</v>
      </c>
      <c r="C16" s="92">
        <v>1</v>
      </c>
      <c r="D16" s="92" t="s">
        <v>66</v>
      </c>
      <c r="E16" s="114">
        <f t="shared" si="0"/>
        <v>6602631.9687987827</v>
      </c>
      <c r="F16" s="207">
        <f t="shared" si="1"/>
        <v>6602631.9689999996</v>
      </c>
      <c r="G16" s="115"/>
      <c r="H16" s="155" t="s">
        <v>72</v>
      </c>
      <c r="I16" s="181">
        <f>'total gral.'!J50</f>
        <v>6602631.9687987827</v>
      </c>
      <c r="K16" s="193">
        <f t="shared" si="2"/>
        <v>-2.0121689885854721E-4</v>
      </c>
    </row>
    <row r="17" spans="1:14" x14ac:dyDescent="0.25">
      <c r="A17" s="1">
        <v>3000000396</v>
      </c>
      <c r="B17" s="93" t="s">
        <v>99</v>
      </c>
      <c r="C17" s="92">
        <v>1</v>
      </c>
      <c r="D17" s="92" t="s">
        <v>66</v>
      </c>
      <c r="E17" s="114">
        <f t="shared" si="0"/>
        <v>16125.173634144152</v>
      </c>
      <c r="F17" s="207">
        <f t="shared" si="1"/>
        <v>16125.174000000001</v>
      </c>
      <c r="G17" s="115"/>
      <c r="H17" s="155" t="s">
        <v>73</v>
      </c>
      <c r="I17" s="181">
        <f>'total gral.'!I51</f>
        <v>16125.173634144152</v>
      </c>
      <c r="J17" s="57" t="s">
        <v>7</v>
      </c>
      <c r="K17" s="193">
        <f t="shared" si="2"/>
        <v>-3.6585584894055501E-4</v>
      </c>
    </row>
    <row r="18" spans="1:14" x14ac:dyDescent="0.25">
      <c r="A18" s="1">
        <v>3000000395</v>
      </c>
      <c r="B18" s="93" t="s">
        <v>92</v>
      </c>
      <c r="C18" s="92">
        <v>1</v>
      </c>
      <c r="D18" s="92" t="s">
        <v>66</v>
      </c>
      <c r="E18" s="114">
        <f t="shared" si="0"/>
        <v>3301315.9843993913</v>
      </c>
      <c r="F18" s="207">
        <f t="shared" si="1"/>
        <v>3301315.9840000002</v>
      </c>
      <c r="G18" s="115"/>
      <c r="H18" s="155" t="s">
        <v>73</v>
      </c>
      <c r="I18" s="181">
        <f>'total gral.'!J51</f>
        <v>3301315.9843993913</v>
      </c>
      <c r="K18" s="193">
        <f t="shared" si="2"/>
        <v>3.9939116686582565E-4</v>
      </c>
    </row>
    <row r="19" spans="1:14" x14ac:dyDescent="0.25">
      <c r="A19" s="1">
        <v>3000000400</v>
      </c>
      <c r="B19" s="93" t="s">
        <v>100</v>
      </c>
      <c r="C19" s="92">
        <v>1</v>
      </c>
      <c r="D19" s="92" t="s">
        <v>66</v>
      </c>
      <c r="E19" s="114">
        <f t="shared" si="0"/>
        <v>35475.381995117132</v>
      </c>
      <c r="F19" s="207">
        <f t="shared" si="1"/>
        <v>35475.381999999998</v>
      </c>
      <c r="G19" s="115"/>
      <c r="H19" s="155" t="s">
        <v>74</v>
      </c>
      <c r="I19" s="181">
        <f>'total gral.'!I52</f>
        <v>35475.381995117132</v>
      </c>
      <c r="J19" s="57" t="s">
        <v>8</v>
      </c>
      <c r="K19" s="193">
        <f t="shared" si="2"/>
        <v>-4.8828660510480404E-6</v>
      </c>
    </row>
    <row r="20" spans="1:14" x14ac:dyDescent="0.25">
      <c r="A20" s="1">
        <v>3000000399</v>
      </c>
      <c r="B20" s="93" t="s">
        <v>93</v>
      </c>
      <c r="C20" s="92">
        <v>1</v>
      </c>
      <c r="D20" s="92" t="s">
        <v>66</v>
      </c>
      <c r="E20" s="114">
        <f t="shared" si="0"/>
        <v>7262895.1656786622</v>
      </c>
      <c r="F20" s="207">
        <f t="shared" si="1"/>
        <v>7262895.1660000002</v>
      </c>
      <c r="G20" s="115"/>
      <c r="H20" s="155" t="s">
        <v>74</v>
      </c>
      <c r="I20" s="181">
        <f>'total gral.'!J52</f>
        <v>7262895.1656786622</v>
      </c>
      <c r="K20" s="193">
        <f t="shared" si="2"/>
        <v>-3.2133795320987701E-4</v>
      </c>
    </row>
    <row r="21" spans="1:14" x14ac:dyDescent="0.25">
      <c r="A21" s="46">
        <v>3000000404</v>
      </c>
      <c r="B21" s="93" t="s">
        <v>101</v>
      </c>
      <c r="C21" s="92">
        <v>1</v>
      </c>
      <c r="D21" s="92" t="s">
        <v>66</v>
      </c>
      <c r="E21" s="114">
        <f t="shared" si="0"/>
        <v>80581.127157548253</v>
      </c>
      <c r="F21" s="207">
        <f t="shared" si="1"/>
        <v>80581.126999999993</v>
      </c>
      <c r="G21" s="115"/>
      <c r="H21" s="155" t="s">
        <v>75</v>
      </c>
      <c r="I21" s="181">
        <f>'total gral.'!I57</f>
        <v>80581.127157548253</v>
      </c>
      <c r="J21" s="1" t="s">
        <v>42</v>
      </c>
      <c r="K21" s="193">
        <f t="shared" si="2"/>
        <v>1.5754826017655432E-4</v>
      </c>
    </row>
    <row r="22" spans="1:14" x14ac:dyDescent="0.25">
      <c r="A22" s="46">
        <v>3000000403</v>
      </c>
      <c r="B22" s="93" t="s">
        <v>94</v>
      </c>
      <c r="C22" s="92">
        <v>1</v>
      </c>
      <c r="D22" s="92" t="s">
        <v>66</v>
      </c>
      <c r="E22" s="114">
        <f t="shared" si="0"/>
        <v>16497420.068881841</v>
      </c>
      <c r="F22" s="207">
        <f t="shared" si="1"/>
        <v>16497420.069</v>
      </c>
      <c r="G22" s="115"/>
      <c r="H22" s="155" t="s">
        <v>75</v>
      </c>
      <c r="I22" s="181">
        <f>'total gral.'!J57</f>
        <v>16497420.068881841</v>
      </c>
      <c r="K22" s="193">
        <f t="shared" si="2"/>
        <v>-1.1815875768661499E-4</v>
      </c>
    </row>
    <row r="23" spans="1:14" x14ac:dyDescent="0.25">
      <c r="A23" s="46">
        <v>3000000406</v>
      </c>
      <c r="B23" s="93" t="s">
        <v>102</v>
      </c>
      <c r="C23" s="92">
        <v>1</v>
      </c>
      <c r="D23" s="92" t="s">
        <v>66</v>
      </c>
      <c r="E23" s="114">
        <f t="shared" si="0"/>
        <v>80223.225266325739</v>
      </c>
      <c r="F23" s="207">
        <f t="shared" si="1"/>
        <v>80223.225000000006</v>
      </c>
      <c r="G23" s="115"/>
      <c r="H23" s="155" t="s">
        <v>76</v>
      </c>
      <c r="I23" s="183">
        <f>'total gral.'!I58</f>
        <v>80223.225266325739</v>
      </c>
      <c r="J23" s="1" t="s">
        <v>43</v>
      </c>
      <c r="K23" s="193">
        <f t="shared" si="2"/>
        <v>2.6632573280949146E-4</v>
      </c>
    </row>
    <row r="24" spans="1:14" x14ac:dyDescent="0.25">
      <c r="A24" s="46">
        <v>3000000405</v>
      </c>
      <c r="B24" s="93" t="s">
        <v>95</v>
      </c>
      <c r="C24" s="92">
        <v>1</v>
      </c>
      <c r="D24" s="92" t="s">
        <v>66</v>
      </c>
      <c r="E24" s="114">
        <f>I24</f>
        <v>16424146.610800255</v>
      </c>
      <c r="F24" s="207">
        <f t="shared" si="1"/>
        <v>16424146.611</v>
      </c>
      <c r="G24" s="115"/>
      <c r="H24" s="155" t="s">
        <v>76</v>
      </c>
      <c r="I24" s="183">
        <f>'total gral.'!J58</f>
        <v>16424146.610800255</v>
      </c>
      <c r="K24" s="193">
        <f t="shared" si="2"/>
        <v>-1.9974447786808014E-4</v>
      </c>
    </row>
    <row r="25" spans="1:14" x14ac:dyDescent="0.25">
      <c r="A25" s="1">
        <v>3000000408</v>
      </c>
      <c r="B25" s="93" t="s">
        <v>103</v>
      </c>
      <c r="C25" s="92">
        <v>1</v>
      </c>
      <c r="D25" s="92" t="s">
        <v>66</v>
      </c>
      <c r="E25" s="114">
        <f>I25</f>
        <v>161409.74217527613</v>
      </c>
      <c r="F25" s="207">
        <f t="shared" si="1"/>
        <v>161409.742</v>
      </c>
      <c r="G25" s="115"/>
      <c r="H25" s="155" t="s">
        <v>77</v>
      </c>
      <c r="I25" s="183">
        <f>'total gral.'!I59</f>
        <v>161409.74217527613</v>
      </c>
      <c r="J25" t="s">
        <v>81</v>
      </c>
      <c r="K25" s="193">
        <f t="shared" si="2"/>
        <v>1.7527613090351224E-4</v>
      </c>
    </row>
    <row r="26" spans="1:14" x14ac:dyDescent="0.25">
      <c r="A26" s="1">
        <v>3000000407</v>
      </c>
      <c r="B26" s="93" t="s">
        <v>96</v>
      </c>
      <c r="C26" s="92">
        <v>1</v>
      </c>
      <c r="D26" s="92" t="s">
        <v>66</v>
      </c>
      <c r="E26" s="114">
        <f>I26</f>
        <v>33045508.468368541</v>
      </c>
      <c r="F26" s="207">
        <f t="shared" si="1"/>
        <v>33045508.467999998</v>
      </c>
      <c r="G26" s="115"/>
      <c r="H26" s="155" t="s">
        <v>77</v>
      </c>
      <c r="I26" s="183">
        <f>'total gral.'!J59</f>
        <v>33045508.468368541</v>
      </c>
      <c r="K26" s="193">
        <f t="shared" si="2"/>
        <v>3.6854296922683716E-4</v>
      </c>
    </row>
    <row r="27" spans="1:14" x14ac:dyDescent="0.25">
      <c r="A27" s="1">
        <v>3000000384</v>
      </c>
      <c r="B27" s="94" t="s">
        <v>104</v>
      </c>
      <c r="C27" s="92">
        <v>1</v>
      </c>
      <c r="D27" s="92" t="s">
        <v>66</v>
      </c>
      <c r="E27" s="114">
        <f t="shared" si="0"/>
        <v>2551.2753945632398</v>
      </c>
      <c r="F27" s="207">
        <f t="shared" si="1"/>
        <v>2551.2750000000001</v>
      </c>
      <c r="G27" s="115"/>
      <c r="H27" s="155" t="s">
        <v>69</v>
      </c>
      <c r="I27" s="181">
        <f>'total gral.'!I79</f>
        <v>2551.2753945632398</v>
      </c>
      <c r="K27" s="193">
        <f t="shared" si="2"/>
        <v>3.9456323975173291E-4</v>
      </c>
      <c r="L27" s="167"/>
      <c r="M27" s="167"/>
      <c r="N27" s="167">
        <f>M27+L27</f>
        <v>0</v>
      </c>
    </row>
    <row r="28" spans="1:14" x14ac:dyDescent="0.25">
      <c r="A28" s="1">
        <v>3000000383</v>
      </c>
      <c r="B28" s="94" t="s">
        <v>105</v>
      </c>
      <c r="C28" s="92">
        <v>1</v>
      </c>
      <c r="D28" s="92" t="s">
        <v>66</v>
      </c>
      <c r="E28" s="114">
        <f t="shared" si="0"/>
        <v>522324.06495407759</v>
      </c>
      <c r="F28" s="207">
        <f t="shared" si="1"/>
        <v>522324.065</v>
      </c>
      <c r="G28" s="115"/>
      <c r="H28" s="155" t="s">
        <v>69</v>
      </c>
      <c r="I28" s="181">
        <f>'total gral.'!J79</f>
        <v>522324.06495407759</v>
      </c>
      <c r="K28" s="193">
        <f t="shared" si="2"/>
        <v>-4.592241020873189E-5</v>
      </c>
    </row>
    <row r="29" spans="1:14" x14ac:dyDescent="0.25">
      <c r="A29" s="57">
        <v>3000000390</v>
      </c>
      <c r="B29" s="94" t="s">
        <v>106</v>
      </c>
      <c r="C29" s="92">
        <v>1</v>
      </c>
      <c r="D29" s="92" t="s">
        <v>66</v>
      </c>
      <c r="E29" s="114">
        <f t="shared" si="0"/>
        <v>9239.4943517230913</v>
      </c>
      <c r="F29" s="207">
        <f t="shared" si="1"/>
        <v>9239.4940000000006</v>
      </c>
      <c r="G29" s="115"/>
      <c r="H29" s="155" t="s">
        <v>71</v>
      </c>
      <c r="I29" s="181">
        <f>'total gral.'!I78</f>
        <v>9239.4943517230913</v>
      </c>
      <c r="K29" s="193">
        <f t="shared" si="2"/>
        <v>3.5172309071640484E-4</v>
      </c>
    </row>
    <row r="30" spans="1:14" x14ac:dyDescent="0.25">
      <c r="A30" s="57">
        <v>3000000389</v>
      </c>
      <c r="B30" s="94" t="s">
        <v>107</v>
      </c>
      <c r="C30" s="92">
        <v>1</v>
      </c>
      <c r="D30" s="92" t="s">
        <v>66</v>
      </c>
      <c r="E30" s="114">
        <f t="shared" si="0"/>
        <v>1891606.9422362081</v>
      </c>
      <c r="F30" s="207">
        <f t="shared" si="1"/>
        <v>1891606.942</v>
      </c>
      <c r="G30" s="115"/>
      <c r="H30" s="155" t="s">
        <v>71</v>
      </c>
      <c r="I30" s="181">
        <f>'total gral.'!J78</f>
        <v>1891606.9422362081</v>
      </c>
      <c r="K30" s="193">
        <f t="shared" si="2"/>
        <v>2.3620808497071266E-4</v>
      </c>
    </row>
    <row r="31" spans="1:14" x14ac:dyDescent="0.25">
      <c r="A31" s="57">
        <v>3000000394</v>
      </c>
      <c r="B31" s="94" t="s">
        <v>112</v>
      </c>
      <c r="C31" s="92">
        <v>1</v>
      </c>
      <c r="D31" s="92" t="s">
        <v>66</v>
      </c>
      <c r="E31" s="114">
        <f t="shared" si="0"/>
        <v>104479.83392522961</v>
      </c>
      <c r="F31" s="207">
        <f t="shared" si="1"/>
        <v>104479.834</v>
      </c>
      <c r="G31" s="115"/>
      <c r="H31" s="155" t="s">
        <v>72</v>
      </c>
      <c r="I31" s="181">
        <f>'total gral.'!I73</f>
        <v>104479.83392522961</v>
      </c>
      <c r="K31" s="193">
        <f t="shared" si="2"/>
        <v>-7.4770388891920447E-5</v>
      </c>
    </row>
    <row r="32" spans="1:14" x14ac:dyDescent="0.25">
      <c r="A32" s="57">
        <v>3000000393</v>
      </c>
      <c r="B32" s="94" t="s">
        <v>108</v>
      </c>
      <c r="C32" s="92">
        <v>1</v>
      </c>
      <c r="D32" s="92" t="s">
        <v>66</v>
      </c>
      <c r="E32" s="114">
        <f>I32</f>
        <v>21390215.920181081</v>
      </c>
      <c r="F32" s="207">
        <f t="shared" si="1"/>
        <v>21390215.920000002</v>
      </c>
      <c r="G32" s="115"/>
      <c r="H32" s="155" t="s">
        <v>72</v>
      </c>
      <c r="I32" s="181">
        <f>'total gral.'!J73</f>
        <v>21390215.920181081</v>
      </c>
      <c r="K32" s="193">
        <f t="shared" si="2"/>
        <v>1.8107891082763672E-4</v>
      </c>
    </row>
    <row r="33" spans="1:11" x14ac:dyDescent="0.25">
      <c r="A33" s="1">
        <v>3000000398</v>
      </c>
      <c r="B33" s="94" t="s">
        <v>113</v>
      </c>
      <c r="C33" s="92">
        <v>1</v>
      </c>
      <c r="D33" s="92" t="s">
        <v>66</v>
      </c>
      <c r="E33" s="114">
        <f t="shared" si="0"/>
        <v>52239.916962614807</v>
      </c>
      <c r="F33" s="207">
        <f t="shared" si="1"/>
        <v>52239.917000000001</v>
      </c>
      <c r="G33" s="115"/>
      <c r="H33" s="155" t="s">
        <v>73</v>
      </c>
      <c r="I33" s="181">
        <f>'total gral.'!I74</f>
        <v>52239.916962614807</v>
      </c>
      <c r="K33" s="193">
        <f t="shared" si="2"/>
        <v>-3.7385194445960224E-5</v>
      </c>
    </row>
    <row r="34" spans="1:11" x14ac:dyDescent="0.25">
      <c r="A34" s="1">
        <v>3000000397</v>
      </c>
      <c r="B34" s="94" t="s">
        <v>109</v>
      </c>
      <c r="C34" s="92">
        <v>1</v>
      </c>
      <c r="D34" s="92" t="s">
        <v>66</v>
      </c>
      <c r="E34" s="114">
        <f>I34</f>
        <v>10695107.96009054</v>
      </c>
      <c r="F34" s="207">
        <f t="shared" si="1"/>
        <v>10695107.960000001</v>
      </c>
      <c r="G34" s="115"/>
      <c r="H34" s="155" t="s">
        <v>73</v>
      </c>
      <c r="I34" s="181">
        <f>'total gral.'!J74</f>
        <v>10695107.96009054</v>
      </c>
      <c r="K34" s="193">
        <f t="shared" si="2"/>
        <v>9.0539455413818359E-5</v>
      </c>
    </row>
    <row r="35" spans="1:11" x14ac:dyDescent="0.25">
      <c r="A35" s="1">
        <v>3000000402</v>
      </c>
      <c r="B35" s="94" t="s">
        <v>114</v>
      </c>
      <c r="C35" s="92">
        <v>1</v>
      </c>
      <c r="D35" s="92" t="s">
        <v>66</v>
      </c>
      <c r="E35" s="114">
        <f>I35</f>
        <v>114927.8173177526</v>
      </c>
      <c r="F35" s="207">
        <f t="shared" si="1"/>
        <v>114927.817</v>
      </c>
      <c r="G35" s="115"/>
      <c r="H35" s="155" t="s">
        <v>74</v>
      </c>
      <c r="I35" s="181">
        <f>'total gral.'!I75</f>
        <v>114927.8173177526</v>
      </c>
      <c r="K35" s="193">
        <f t="shared" si="2"/>
        <v>3.177526086801663E-4</v>
      </c>
    </row>
    <row r="36" spans="1:11" x14ac:dyDescent="0.25">
      <c r="A36" s="1">
        <v>3000000401</v>
      </c>
      <c r="B36" s="94" t="s">
        <v>110</v>
      </c>
      <c r="C36" s="92">
        <v>1</v>
      </c>
      <c r="D36" s="92" t="s">
        <v>66</v>
      </c>
      <c r="E36" s="114">
        <f>I36</f>
        <v>23529237.51219919</v>
      </c>
      <c r="F36" s="207">
        <f t="shared" si="1"/>
        <v>23529237.511999998</v>
      </c>
      <c r="G36" s="115"/>
      <c r="H36" s="155" t="s">
        <v>74</v>
      </c>
      <c r="I36" s="181">
        <f>'total gral.'!J75</f>
        <v>23529237.51219919</v>
      </c>
      <c r="K36" s="193">
        <f t="shared" si="2"/>
        <v>1.9919127225875854E-4</v>
      </c>
    </row>
    <row r="37" spans="1:11" x14ac:dyDescent="0.25">
      <c r="A37">
        <v>3000000410</v>
      </c>
      <c r="B37" s="95" t="s">
        <v>78</v>
      </c>
      <c r="C37" s="92">
        <v>1</v>
      </c>
      <c r="D37" s="92" t="s">
        <v>66</v>
      </c>
      <c r="E37" s="111">
        <f t="shared" ref="E37:E38" si="3">I37</f>
        <v>20621.87548721108</v>
      </c>
      <c r="F37" s="207">
        <f>ROUND(I37,3)+0.005</f>
        <v>20621.88</v>
      </c>
      <c r="G37" s="115"/>
      <c r="H37" s="155" t="s">
        <v>223</v>
      </c>
      <c r="I37" s="184">
        <f>'total gral.'!I81</f>
        <v>20621.87548721108</v>
      </c>
      <c r="K37" s="193">
        <f t="shared" si="2"/>
        <v>-4.512788920692401E-3</v>
      </c>
    </row>
    <row r="38" spans="1:11" x14ac:dyDescent="0.25">
      <c r="A38">
        <v>3000000409</v>
      </c>
      <c r="B38" s="95" t="s">
        <v>111</v>
      </c>
      <c r="C38" s="92">
        <v>1</v>
      </c>
      <c r="D38" s="92" t="s">
        <v>66</v>
      </c>
      <c r="E38" s="111">
        <f t="shared" si="3"/>
        <v>4221928.3164845919</v>
      </c>
      <c r="F38" s="207">
        <f>ROUND(I38,3)+0.006</f>
        <v>4221928.3219999997</v>
      </c>
      <c r="G38" s="115"/>
      <c r="H38" s="155" t="s">
        <v>223</v>
      </c>
      <c r="I38" s="181">
        <f>'total gral.'!J81</f>
        <v>4221928.3164845919</v>
      </c>
      <c r="K38" s="193">
        <f t="shared" si="2"/>
        <v>-5.5154077708721161E-3</v>
      </c>
    </row>
    <row r="39" spans="1:11" x14ac:dyDescent="0.25">
      <c r="A39" s="57">
        <v>3000000570</v>
      </c>
      <c r="B39" s="151" t="s">
        <v>181</v>
      </c>
      <c r="C39" s="92">
        <v>1</v>
      </c>
      <c r="D39" s="92" t="s">
        <v>66</v>
      </c>
      <c r="E39" s="114">
        <f t="shared" ref="E39:E46" si="4">I39</f>
        <v>35475.381995117132</v>
      </c>
      <c r="F39" s="207">
        <f t="shared" si="1"/>
        <v>35475.381999999998</v>
      </c>
      <c r="G39" s="115"/>
      <c r="H39" s="155" t="s">
        <v>219</v>
      </c>
      <c r="I39" s="181">
        <f>'total gral.'!I53</f>
        <v>35475.381995117132</v>
      </c>
      <c r="K39" s="193">
        <f t="shared" si="2"/>
        <v>-4.8828660510480404E-6</v>
      </c>
    </row>
    <row r="40" spans="1:11" x14ac:dyDescent="0.25">
      <c r="A40" s="57">
        <v>3000000571</v>
      </c>
      <c r="B40" s="151" t="s">
        <v>182</v>
      </c>
      <c r="C40" s="92">
        <v>1</v>
      </c>
      <c r="D40" s="92" t="s">
        <v>66</v>
      </c>
      <c r="E40" s="114">
        <f t="shared" si="4"/>
        <v>7262895.1656786622</v>
      </c>
      <c r="F40" s="207">
        <f t="shared" si="1"/>
        <v>7262895.1660000002</v>
      </c>
      <c r="G40" s="115"/>
      <c r="H40" s="155" t="s">
        <v>219</v>
      </c>
      <c r="I40" s="181">
        <f>'total gral.'!J53</f>
        <v>7262895.1656786622</v>
      </c>
      <c r="K40" s="193">
        <f t="shared" si="2"/>
        <v>-3.2133795320987701E-4</v>
      </c>
    </row>
    <row r="41" spans="1:11" x14ac:dyDescent="0.25">
      <c r="A41" s="57">
        <v>3000000572</v>
      </c>
      <c r="B41" s="151" t="s">
        <v>190</v>
      </c>
      <c r="C41" s="92">
        <v>1</v>
      </c>
      <c r="D41" s="92" t="s">
        <v>66</v>
      </c>
      <c r="E41" s="114">
        <f t="shared" si="4"/>
        <v>41925.451448774795</v>
      </c>
      <c r="F41" s="207">
        <f t="shared" si="1"/>
        <v>41925.451000000001</v>
      </c>
      <c r="G41" s="115"/>
      <c r="H41" s="155" t="s">
        <v>220</v>
      </c>
      <c r="I41" s="181">
        <f>'total gral.'!I54</f>
        <v>41925.451448774795</v>
      </c>
      <c r="K41" s="193">
        <f t="shared" si="2"/>
        <v>4.4877479376737028E-4</v>
      </c>
    </row>
    <row r="42" spans="1:11" x14ac:dyDescent="0.25">
      <c r="A42" s="57">
        <v>3000000573</v>
      </c>
      <c r="B42" s="151" t="s">
        <v>191</v>
      </c>
      <c r="C42" s="92">
        <v>1</v>
      </c>
      <c r="D42" s="92" t="s">
        <v>66</v>
      </c>
      <c r="E42" s="114">
        <f t="shared" si="4"/>
        <v>8583421.5594384186</v>
      </c>
      <c r="F42" s="207">
        <f t="shared" si="1"/>
        <v>8583421.5590000004</v>
      </c>
      <c r="G42" s="115"/>
      <c r="H42" s="155" t="s">
        <v>220</v>
      </c>
      <c r="I42" s="181">
        <f>'total gral.'!J54</f>
        <v>8583421.5594384186</v>
      </c>
      <c r="K42" s="193">
        <f t="shared" si="2"/>
        <v>4.3841823935508728E-4</v>
      </c>
    </row>
    <row r="43" spans="1:11" x14ac:dyDescent="0.25">
      <c r="A43" s="57">
        <v>3000000584</v>
      </c>
      <c r="B43" s="151" t="s">
        <v>184</v>
      </c>
      <c r="C43" s="92">
        <v>1</v>
      </c>
      <c r="D43" s="92" t="s">
        <v>66</v>
      </c>
      <c r="E43" s="114">
        <f t="shared" si="4"/>
        <v>114927.8173177526</v>
      </c>
      <c r="F43" s="207">
        <f t="shared" si="1"/>
        <v>114927.817</v>
      </c>
      <c r="G43" s="115"/>
      <c r="H43" s="155" t="s">
        <v>219</v>
      </c>
      <c r="I43" s="181">
        <f>'total gral.'!I76</f>
        <v>114927.8173177526</v>
      </c>
      <c r="K43" s="193">
        <f t="shared" si="2"/>
        <v>3.177526086801663E-4</v>
      </c>
    </row>
    <row r="44" spans="1:11" x14ac:dyDescent="0.25">
      <c r="A44" s="57">
        <v>3000000585</v>
      </c>
      <c r="B44" s="151" t="s">
        <v>185</v>
      </c>
      <c r="C44" s="92">
        <v>1</v>
      </c>
      <c r="D44" s="92" t="s">
        <v>66</v>
      </c>
      <c r="E44" s="114">
        <f t="shared" si="4"/>
        <v>23529237.51219919</v>
      </c>
      <c r="F44" s="207">
        <f t="shared" si="1"/>
        <v>23529237.511999998</v>
      </c>
      <c r="G44" s="115"/>
      <c r="H44" s="155" t="s">
        <v>219</v>
      </c>
      <c r="I44" s="181">
        <f>'total gral.'!J76</f>
        <v>23529237.51219919</v>
      </c>
      <c r="K44" s="193">
        <f t="shared" si="2"/>
        <v>1.9919127225875854E-4</v>
      </c>
    </row>
    <row r="45" spans="1:11" x14ac:dyDescent="0.25">
      <c r="A45" s="57">
        <v>3000000586</v>
      </c>
      <c r="B45" s="151" t="s">
        <v>188</v>
      </c>
      <c r="C45" s="92">
        <v>1</v>
      </c>
      <c r="D45" s="92" t="s">
        <v>66</v>
      </c>
      <c r="E45" s="114">
        <f t="shared" si="4"/>
        <v>135823.7841027985</v>
      </c>
      <c r="F45" s="207">
        <f t="shared" si="1"/>
        <v>135823.78400000001</v>
      </c>
      <c r="G45" s="115"/>
      <c r="H45" s="155" t="s">
        <v>220</v>
      </c>
      <c r="I45" s="181">
        <f>'total gral.'!I77</f>
        <v>135823.7841027985</v>
      </c>
      <c r="K45" s="193">
        <f t="shared" si="2"/>
        <v>1.0279848356731236E-4</v>
      </c>
    </row>
    <row r="46" spans="1:11" x14ac:dyDescent="0.25">
      <c r="A46" s="57">
        <v>3000000587</v>
      </c>
      <c r="B46" s="151" t="s">
        <v>189</v>
      </c>
      <c r="C46" s="92">
        <v>1</v>
      </c>
      <c r="D46" s="92" t="s">
        <v>66</v>
      </c>
      <c r="E46" s="114">
        <f t="shared" si="4"/>
        <v>27807280.696235403</v>
      </c>
      <c r="F46" s="207">
        <f t="shared" si="1"/>
        <v>27807280.695999999</v>
      </c>
      <c r="G46" s="115"/>
      <c r="H46" s="155" t="s">
        <v>220</v>
      </c>
      <c r="I46" s="181">
        <f>'total gral.'!J77</f>
        <v>27807280.696235403</v>
      </c>
      <c r="K46" s="193">
        <f t="shared" si="2"/>
        <v>2.3540481925010681E-4</v>
      </c>
    </row>
    <row r="47" spans="1:11" x14ac:dyDescent="0.25">
      <c r="B47" s="96" t="s">
        <v>213</v>
      </c>
      <c r="C47" s="92"/>
      <c r="D47" s="92"/>
      <c r="E47" s="147">
        <f>SUM(E3:E46)</f>
        <v>861957574.69973338</v>
      </c>
      <c r="F47" s="207">
        <f t="shared" si="1"/>
        <v>0</v>
      </c>
      <c r="G47" s="115"/>
      <c r="H47" s="155"/>
      <c r="I47" s="181"/>
      <c r="K47" s="193">
        <f t="shared" si="2"/>
        <v>0</v>
      </c>
    </row>
    <row r="48" spans="1:11" x14ac:dyDescent="0.25">
      <c r="B48" s="96"/>
      <c r="C48" s="92"/>
      <c r="D48" s="92"/>
      <c r="E48" s="150"/>
      <c r="F48" s="207">
        <f t="shared" si="1"/>
        <v>0</v>
      </c>
      <c r="G48" s="115"/>
      <c r="H48" s="155"/>
      <c r="I48" s="181"/>
      <c r="K48" s="193">
        <f t="shared" si="2"/>
        <v>0</v>
      </c>
    </row>
    <row r="49" spans="1:15" x14ac:dyDescent="0.25">
      <c r="B49" s="96"/>
      <c r="C49" s="92"/>
      <c r="D49" s="92"/>
      <c r="E49" s="111"/>
      <c r="F49" s="207">
        <f t="shared" si="1"/>
        <v>0</v>
      </c>
      <c r="G49" s="115"/>
      <c r="H49" s="155"/>
      <c r="I49" s="181"/>
      <c r="K49" s="193">
        <f t="shared" si="2"/>
        <v>0</v>
      </c>
    </row>
    <row r="50" spans="1:15" x14ac:dyDescent="0.25">
      <c r="A50" s="168">
        <v>3000000424</v>
      </c>
      <c r="B50" s="149" t="s">
        <v>192</v>
      </c>
      <c r="C50" s="92">
        <v>1</v>
      </c>
      <c r="D50" s="92" t="s">
        <v>66</v>
      </c>
      <c r="E50" s="114">
        <f t="shared" ref="E50:E53" si="5">I50</f>
        <v>8867.1720167353324</v>
      </c>
      <c r="F50" s="207">
        <f t="shared" si="1"/>
        <v>8867.1720000000005</v>
      </c>
      <c r="G50" s="115"/>
      <c r="H50" s="155" t="s">
        <v>206</v>
      </c>
      <c r="I50" s="183">
        <f>'total gral.'!I65</f>
        <v>8867.1720167353324</v>
      </c>
      <c r="K50" s="193">
        <f t="shared" si="2"/>
        <v>1.6735331882955506E-5</v>
      </c>
    </row>
    <row r="51" spans="1:15" x14ac:dyDescent="0.25">
      <c r="A51" s="169">
        <v>3000000423</v>
      </c>
      <c r="B51" s="149" t="s">
        <v>193</v>
      </c>
      <c r="C51" s="92">
        <v>1</v>
      </c>
      <c r="D51" s="92" t="s">
        <v>66</v>
      </c>
      <c r="E51" s="114">
        <f>I51</f>
        <v>2417757.6604401018</v>
      </c>
      <c r="F51" s="207">
        <f t="shared" si="1"/>
        <v>2417757.66</v>
      </c>
      <c r="G51" s="115"/>
      <c r="H51" s="155" t="s">
        <v>206</v>
      </c>
      <c r="I51" s="183">
        <f>'total gral.'!J65</f>
        <v>2417757.6604401018</v>
      </c>
      <c r="K51" s="193">
        <f t="shared" si="2"/>
        <v>4.4010160490870476E-4</v>
      </c>
    </row>
    <row r="52" spans="1:15" x14ac:dyDescent="0.25">
      <c r="A52" s="170">
        <v>3000000564</v>
      </c>
      <c r="B52" s="149" t="s">
        <v>200</v>
      </c>
      <c r="C52" s="92">
        <v>1</v>
      </c>
      <c r="D52" s="92" t="s">
        <v>66</v>
      </c>
      <c r="E52" s="114">
        <f t="shared" si="5"/>
        <v>223.02601443092112</v>
      </c>
      <c r="F52" s="207">
        <f t="shared" si="1"/>
        <v>223.02600000000001</v>
      </c>
      <c r="G52" s="115"/>
      <c r="H52" s="155" t="s">
        <v>207</v>
      </c>
      <c r="I52" s="183">
        <f>'total gral.'!I66</f>
        <v>223.02601443092112</v>
      </c>
      <c r="K52" s="193">
        <f t="shared" si="2"/>
        <v>1.443092111230726E-5</v>
      </c>
    </row>
    <row r="53" spans="1:15" x14ac:dyDescent="0.25">
      <c r="A53" s="170">
        <v>3000000565</v>
      </c>
      <c r="B53" s="149" t="s">
        <v>201</v>
      </c>
      <c r="C53" s="92">
        <v>1</v>
      </c>
      <c r="D53" s="92" t="s">
        <v>66</v>
      </c>
      <c r="E53" s="114">
        <f t="shared" si="5"/>
        <v>60811.141799221841</v>
      </c>
      <c r="F53" s="207">
        <f t="shared" si="1"/>
        <v>60811.142</v>
      </c>
      <c r="G53" s="115"/>
      <c r="H53" s="155" t="s">
        <v>207</v>
      </c>
      <c r="I53" s="183">
        <f>'total gral.'!J66</f>
        <v>60811.141799221841</v>
      </c>
      <c r="K53" s="193">
        <f t="shared" si="2"/>
        <v>-2.0077815861441195E-4</v>
      </c>
    </row>
    <row r="54" spans="1:15" x14ac:dyDescent="0.25">
      <c r="A54" s="169">
        <v>3000000578</v>
      </c>
      <c r="B54" s="149" t="s">
        <v>173</v>
      </c>
      <c r="C54" s="92">
        <v>1</v>
      </c>
      <c r="D54" s="92" t="s">
        <v>66</v>
      </c>
      <c r="E54" s="114">
        <f>I54</f>
        <v>950.6665291943707</v>
      </c>
      <c r="F54" s="207">
        <f t="shared" si="1"/>
        <v>950.66700000000003</v>
      </c>
      <c r="G54" s="115"/>
      <c r="H54" s="155" t="s">
        <v>208</v>
      </c>
      <c r="I54" s="181">
        <f>'total gral.'!I67</f>
        <v>950.6665291943707</v>
      </c>
      <c r="K54" s="193">
        <f t="shared" si="2"/>
        <v>-4.7080562933388137E-4</v>
      </c>
    </row>
    <row r="55" spans="1:15" x14ac:dyDescent="0.25">
      <c r="A55" s="169">
        <v>3000000579</v>
      </c>
      <c r="B55" s="149" t="s">
        <v>174</v>
      </c>
      <c r="C55" s="92">
        <v>1</v>
      </c>
      <c r="D55" s="92" t="s">
        <v>66</v>
      </c>
      <c r="E55" s="114">
        <f>I55</f>
        <v>259212.43877367975</v>
      </c>
      <c r="F55" s="207">
        <f t="shared" si="1"/>
        <v>259212.43900000001</v>
      </c>
      <c r="G55" s="115"/>
      <c r="H55" s="155" t="s">
        <v>208</v>
      </c>
      <c r="I55" s="181">
        <f>'total gral.'!J67</f>
        <v>259212.43877367975</v>
      </c>
      <c r="K55" s="193">
        <f t="shared" si="2"/>
        <v>-2.2632026229985058E-4</v>
      </c>
    </row>
    <row r="56" spans="1:15" x14ac:dyDescent="0.25">
      <c r="A56" s="169">
        <v>3000000580</v>
      </c>
      <c r="B56" s="149" t="s">
        <v>175</v>
      </c>
      <c r="C56" s="92">
        <v>1</v>
      </c>
      <c r="D56" s="92" t="s">
        <v>66</v>
      </c>
      <c r="E56" s="114">
        <f t="shared" ref="E56:E63" si="6">I56</f>
        <v>475.33326459718535</v>
      </c>
      <c r="F56" s="207">
        <f t="shared" si="1"/>
        <v>475.33300000000003</v>
      </c>
      <c r="G56" s="115"/>
      <c r="H56" s="155" t="s">
        <v>209</v>
      </c>
      <c r="I56" s="181">
        <f>'total gral.'!I68</f>
        <v>475.33326459718535</v>
      </c>
      <c r="K56" s="193">
        <f t="shared" si="2"/>
        <v>2.6459718532123588E-4</v>
      </c>
    </row>
    <row r="57" spans="1:15" x14ac:dyDescent="0.25">
      <c r="A57" s="169">
        <v>3000000581</v>
      </c>
      <c r="B57" s="149" t="s">
        <v>176</v>
      </c>
      <c r="C57" s="92">
        <v>1</v>
      </c>
      <c r="D57" s="92" t="s">
        <v>66</v>
      </c>
      <c r="E57" s="114">
        <f t="shared" si="6"/>
        <v>129606.21938683988</v>
      </c>
      <c r="F57" s="207">
        <f t="shared" si="1"/>
        <v>129606.219</v>
      </c>
      <c r="G57" s="115"/>
      <c r="H57" s="155" t="s">
        <v>209</v>
      </c>
      <c r="I57" s="181">
        <f>'total gral.'!J68</f>
        <v>129606.21938683988</v>
      </c>
      <c r="K57" s="193">
        <f t="shared" si="2"/>
        <v>3.8683987804688513E-4</v>
      </c>
    </row>
    <row r="58" spans="1:15" x14ac:dyDescent="0.25">
      <c r="A58" s="169">
        <v>3000000574</v>
      </c>
      <c r="B58" s="149" t="s">
        <v>177</v>
      </c>
      <c r="C58" s="92">
        <v>1</v>
      </c>
      <c r="D58" s="92" t="s">
        <v>66</v>
      </c>
      <c r="E58" s="114">
        <f t="shared" si="6"/>
        <v>1045.7331821138075</v>
      </c>
      <c r="F58" s="207">
        <f t="shared" si="1"/>
        <v>1045.7329999999999</v>
      </c>
      <c r="G58" s="115"/>
      <c r="H58" s="155" t="s">
        <v>210</v>
      </c>
      <c r="I58" s="181">
        <f>'total gral.'!I69</f>
        <v>1045.7331821138075</v>
      </c>
      <c r="K58" s="193">
        <f t="shared" si="2"/>
        <v>1.821138075683848E-4</v>
      </c>
    </row>
    <row r="59" spans="1:15" x14ac:dyDescent="0.25">
      <c r="A59" s="169">
        <v>3000000575</v>
      </c>
      <c r="B59" s="149" t="s">
        <v>178</v>
      </c>
      <c r="C59" s="92">
        <v>1</v>
      </c>
      <c r="D59" s="92" t="s">
        <v>66</v>
      </c>
      <c r="E59" s="114">
        <f t="shared" si="6"/>
        <v>285133.68265104771</v>
      </c>
      <c r="F59" s="207">
        <f t="shared" si="1"/>
        <v>285133.68300000002</v>
      </c>
      <c r="G59" s="115"/>
      <c r="H59" s="155" t="s">
        <v>210</v>
      </c>
      <c r="I59" s="181">
        <f>'total gral.'!J69</f>
        <v>285133.68265104771</v>
      </c>
      <c r="K59" s="193">
        <f t="shared" si="2"/>
        <v>-3.48952307831496E-4</v>
      </c>
    </row>
    <row r="60" spans="1:15" x14ac:dyDescent="0.25">
      <c r="A60" s="169">
        <v>3000000576</v>
      </c>
      <c r="B60" s="149" t="s">
        <v>179</v>
      </c>
      <c r="C60" s="92">
        <v>1</v>
      </c>
      <c r="D60" s="92" t="s">
        <v>66</v>
      </c>
      <c r="E60" s="114">
        <f t="shared" si="6"/>
        <v>1045.7331821138075</v>
      </c>
      <c r="F60" s="207">
        <f t="shared" si="1"/>
        <v>1045.7329999999999</v>
      </c>
      <c r="G60" s="115"/>
      <c r="H60" s="155" t="s">
        <v>211</v>
      </c>
      <c r="I60" s="181">
        <f>'total gral.'!I70</f>
        <v>1045.7331821138075</v>
      </c>
      <c r="K60" s="193">
        <f t="shared" si="2"/>
        <v>1.821138075683848E-4</v>
      </c>
    </row>
    <row r="61" spans="1:15" x14ac:dyDescent="0.25">
      <c r="A61" s="169">
        <v>3000000577</v>
      </c>
      <c r="B61" s="149" t="s">
        <v>180</v>
      </c>
      <c r="C61" s="92">
        <v>1</v>
      </c>
      <c r="D61" s="92" t="s">
        <v>66</v>
      </c>
      <c r="E61" s="114">
        <f t="shared" si="6"/>
        <v>285133.68265104771</v>
      </c>
      <c r="F61" s="207">
        <f t="shared" si="1"/>
        <v>285133.68300000002</v>
      </c>
      <c r="G61" s="115"/>
      <c r="H61" s="155" t="s">
        <v>211</v>
      </c>
      <c r="I61" s="181">
        <f>'total gral.'!J70</f>
        <v>285133.68265104771</v>
      </c>
      <c r="K61" s="193">
        <f t="shared" si="2"/>
        <v>-3.48952307831496E-4</v>
      </c>
    </row>
    <row r="62" spans="1:15" x14ac:dyDescent="0.25">
      <c r="A62" s="169">
        <v>3000000582</v>
      </c>
      <c r="B62" s="149" t="s">
        <v>186</v>
      </c>
      <c r="C62" s="92">
        <v>1</v>
      </c>
      <c r="D62" s="92" t="s">
        <v>66</v>
      </c>
      <c r="E62" s="114">
        <f t="shared" si="6"/>
        <v>1235.8664879526818</v>
      </c>
      <c r="F62" s="207">
        <f t="shared" si="1"/>
        <v>1235.866</v>
      </c>
      <c r="G62" s="115"/>
      <c r="H62" s="155" t="s">
        <v>212</v>
      </c>
      <c r="I62" s="181">
        <f>'total gral.'!I71</f>
        <v>1235.8664879526818</v>
      </c>
      <c r="K62" s="193">
        <f t="shared" si="2"/>
        <v>4.8795268185131135E-4</v>
      </c>
    </row>
    <row r="63" spans="1:15" x14ac:dyDescent="0.25">
      <c r="A63" s="169">
        <v>3000000583</v>
      </c>
      <c r="B63" s="149" t="s">
        <v>187</v>
      </c>
      <c r="C63" s="92">
        <v>1</v>
      </c>
      <c r="D63" s="92" t="s">
        <v>66</v>
      </c>
      <c r="E63" s="114">
        <f t="shared" si="6"/>
        <v>336976.17040578363</v>
      </c>
      <c r="F63" s="207">
        <f t="shared" si="1"/>
        <v>336976.17</v>
      </c>
      <c r="G63" s="115"/>
      <c r="H63" s="155" t="s">
        <v>212</v>
      </c>
      <c r="I63" s="181">
        <f>'total gral.'!J71</f>
        <v>336976.17040578363</v>
      </c>
      <c r="K63" s="193">
        <f t="shared" si="2"/>
        <v>4.0578364860266447E-4</v>
      </c>
    </row>
    <row r="64" spans="1:15" x14ac:dyDescent="0.25">
      <c r="A64" s="169"/>
      <c r="B64" s="96"/>
      <c r="C64" s="92"/>
      <c r="D64" s="92"/>
      <c r="E64" s="113">
        <f>SUM(E50:E63)</f>
        <v>3788474.5267848596</v>
      </c>
      <c r="F64" s="163"/>
      <c r="G64" s="113"/>
      <c r="H64" s="92"/>
      <c r="I64" s="181"/>
      <c r="J64" s="92"/>
      <c r="K64" s="193"/>
      <c r="N64" s="115"/>
      <c r="O64" s="109"/>
    </row>
    <row r="65" spans="1:11" x14ac:dyDescent="0.25">
      <c r="B65" s="146"/>
      <c r="C65" s="92"/>
      <c r="D65" s="92"/>
      <c r="E65" s="113"/>
      <c r="F65" s="207">
        <f>SUM(F3:F46)</f>
        <v>861957574.70500004</v>
      </c>
      <c r="G65" s="180"/>
      <c r="H65" s="92"/>
      <c r="I65" s="183">
        <f>SUM(I3:I46)</f>
        <v>861957574.69973338</v>
      </c>
      <c r="J65" s="92"/>
      <c r="K65" s="193"/>
    </row>
    <row r="66" spans="1:11" ht="15.75" thickBot="1" x14ac:dyDescent="0.3">
      <c r="B66" s="96"/>
      <c r="C66" s="92"/>
      <c r="D66" s="92"/>
      <c r="E66" s="114"/>
      <c r="F66" s="206">
        <f>SUM(F50:F63)</f>
        <v>3788474.5260000001</v>
      </c>
      <c r="G66" s="180"/>
      <c r="H66" s="92"/>
      <c r="I66" s="185">
        <f>SUM(I50:I63)</f>
        <v>3788474.5267848596</v>
      </c>
      <c r="J66" s="92"/>
      <c r="K66" s="193"/>
    </row>
    <row r="67" spans="1:11" ht="15.75" thickBot="1" x14ac:dyDescent="0.3">
      <c r="A67" t="s">
        <v>194</v>
      </c>
      <c r="B67" s="96"/>
      <c r="C67" s="92"/>
      <c r="D67" s="92"/>
      <c r="E67" s="148">
        <f>+E47+E64</f>
        <v>865746049.22651827</v>
      </c>
      <c r="F67" s="208">
        <f>F66+F65</f>
        <v>865746049.23100007</v>
      </c>
      <c r="G67" s="180"/>
      <c r="H67" s="92"/>
      <c r="I67" s="186">
        <f>I66+I65</f>
        <v>865746049.22651827</v>
      </c>
      <c r="J67" s="92"/>
      <c r="K67" s="193"/>
    </row>
    <row r="68" spans="1:11" x14ac:dyDescent="0.25">
      <c r="B68" s="96"/>
      <c r="C68" s="92"/>
      <c r="D68" s="92"/>
      <c r="E68" s="114"/>
      <c r="F68" s="206"/>
      <c r="G68" s="114"/>
      <c r="H68" s="127"/>
      <c r="I68" s="181"/>
      <c r="K68" s="193"/>
    </row>
    <row r="69" spans="1:11" x14ac:dyDescent="0.25">
      <c r="B69" s="96"/>
      <c r="C69" s="92"/>
      <c r="D69" s="92"/>
      <c r="E69" s="113"/>
      <c r="F69" s="163"/>
      <c r="G69" s="113"/>
      <c r="H69" s="127"/>
      <c r="I69" s="181"/>
      <c r="K69" s="193"/>
    </row>
    <row r="70" spans="1:11" x14ac:dyDescent="0.25">
      <c r="B70" s="96"/>
      <c r="C70" s="92"/>
      <c r="D70" s="92"/>
      <c r="E70" s="113"/>
      <c r="F70" s="163"/>
      <c r="G70" s="113"/>
      <c r="H70" s="153"/>
      <c r="I70" s="181"/>
      <c r="K70" s="193"/>
    </row>
    <row r="71" spans="1:11" x14ac:dyDescent="0.25">
      <c r="A71">
        <v>3000000412</v>
      </c>
      <c r="B71" s="96" t="s">
        <v>136</v>
      </c>
      <c r="C71" s="164">
        <f>ROUND('total La plata y san isidro'!R23,2)</f>
        <v>450530.97</v>
      </c>
      <c r="E71" s="111">
        <f>I71</f>
        <v>450530.96613040159</v>
      </c>
      <c r="F71" s="164" t="s">
        <v>226</v>
      </c>
      <c r="G71" s="111"/>
      <c r="H71" s="92"/>
      <c r="I71" s="181">
        <f>+'total La plata y san isidro'!R23</f>
        <v>450530.96613040159</v>
      </c>
    </row>
    <row r="72" spans="1:11" x14ac:dyDescent="0.25">
      <c r="A72">
        <v>3000000411</v>
      </c>
      <c r="B72" s="96" t="s">
        <v>137</v>
      </c>
      <c r="C72" s="164">
        <f>ROUND('total La plata y san isidro'!R24,2)-0.01</f>
        <v>5512083.0700000003</v>
      </c>
      <c r="D72" s="111">
        <f>C71+C72</f>
        <v>5962614.04</v>
      </c>
      <c r="E72" s="111">
        <f>I72</f>
        <v>5512083.0801620977</v>
      </c>
      <c r="F72" s="164" t="s">
        <v>226</v>
      </c>
      <c r="G72" s="111"/>
      <c r="H72" s="112">
        <f>SUM(F71:F72)</f>
        <v>0</v>
      </c>
      <c r="I72" s="181">
        <f>+'total La plata y san isidro'!R24</f>
        <v>5512083.0801620977</v>
      </c>
      <c r="K72" s="193"/>
    </row>
    <row r="73" spans="1:11" x14ac:dyDescent="0.25">
      <c r="A73">
        <v>3000000414</v>
      </c>
      <c r="B73" s="96" t="s">
        <v>138</v>
      </c>
      <c r="C73" s="164">
        <f>ROUND('total La plata y san isidro'!R25,2)</f>
        <v>578572.78</v>
      </c>
      <c r="E73" s="111">
        <f>I73</f>
        <v>578572.77705219993</v>
      </c>
      <c r="F73" s="164" t="s">
        <v>224</v>
      </c>
      <c r="G73" s="111"/>
      <c r="H73" s="92"/>
      <c r="I73" s="181">
        <f>+'total La plata y san isidro'!R25</f>
        <v>578572.77705219993</v>
      </c>
    </row>
    <row r="74" spans="1:11" x14ac:dyDescent="0.25">
      <c r="A74">
        <v>3000000413</v>
      </c>
      <c r="B74" s="96" t="s">
        <v>139</v>
      </c>
      <c r="C74" s="164">
        <f>ROUND('total La plata y san isidro'!R26,2)</f>
        <v>7078628.2300000004</v>
      </c>
      <c r="D74" s="115"/>
      <c r="E74" s="111">
        <f>I74</f>
        <v>7078628.2293163501</v>
      </c>
      <c r="F74" s="164" t="s">
        <v>224</v>
      </c>
      <c r="G74" s="111"/>
      <c r="H74" s="92"/>
      <c r="I74" s="181">
        <f>+'total La plata y san isidro'!R26</f>
        <v>7078628.2293163501</v>
      </c>
    </row>
    <row r="75" spans="1:11" x14ac:dyDescent="0.25">
      <c r="A75">
        <v>3000000416</v>
      </c>
      <c r="B75" s="96" t="s">
        <v>140</v>
      </c>
      <c r="C75" s="164">
        <f>ROUND('total La plata y san isidro'!R27,2)</f>
        <v>419266.26</v>
      </c>
      <c r="D75" s="115"/>
      <c r="E75" s="111">
        <f t="shared" ref="E75" si="7">I75</f>
        <v>419266.25681739859</v>
      </c>
      <c r="F75" s="164" t="s">
        <v>225</v>
      </c>
      <c r="G75" s="111"/>
      <c r="H75" s="92"/>
      <c r="I75" s="181">
        <f>+'total La plata y san isidro'!R27</f>
        <v>419266.25681739859</v>
      </c>
    </row>
    <row r="76" spans="1:11" x14ac:dyDescent="0.25">
      <c r="A76">
        <v>3000000415</v>
      </c>
      <c r="B76" s="96" t="s">
        <v>141</v>
      </c>
      <c r="C76" s="164">
        <f>ROUND('total La plata y san isidro'!R28,2)</f>
        <v>5129570.6900000004</v>
      </c>
      <c r="D76" s="167">
        <f>C73+C74+C75+C76</f>
        <v>13206037.960000001</v>
      </c>
      <c r="E76" s="111">
        <f>I76</f>
        <v>5129570.6932987515</v>
      </c>
      <c r="F76" s="164" t="s">
        <v>225</v>
      </c>
      <c r="G76" s="111"/>
      <c r="H76" s="112">
        <f>SUM(F72:F76)</f>
        <v>0</v>
      </c>
      <c r="I76" s="181">
        <f>+'total La plata y san isidro'!R28</f>
        <v>5129570.6932987515</v>
      </c>
    </row>
    <row r="77" spans="1:11" x14ac:dyDescent="0.25">
      <c r="B77" s="96"/>
      <c r="C77" s="163">
        <f>SUM(C71:C76)</f>
        <v>19168652</v>
      </c>
      <c r="E77" s="154">
        <f>SUM(E71:E76)</f>
        <v>19168652.0027772</v>
      </c>
      <c r="F77" s="163"/>
      <c r="G77" s="150"/>
      <c r="H77" s="92"/>
      <c r="I77" s="181"/>
    </row>
    <row r="78" spans="1:11" x14ac:dyDescent="0.25">
      <c r="B78" s="215" t="s">
        <v>227</v>
      </c>
      <c r="C78" s="215"/>
      <c r="D78" s="215"/>
      <c r="E78" s="215"/>
      <c r="F78" s="215"/>
      <c r="G78" s="215"/>
      <c r="H78" s="215"/>
    </row>
    <row r="79" spans="1:11" x14ac:dyDescent="0.25">
      <c r="B79" s="199" t="str">
        <f>B71</f>
        <v>APUESTAS HIPICAS PALERMO completo</v>
      </c>
      <c r="C79" s="200">
        <v>1</v>
      </c>
      <c r="D79" s="201" t="s">
        <v>66</v>
      </c>
      <c r="E79" s="202"/>
      <c r="F79" s="209">
        <f>C71</f>
        <v>450530.97</v>
      </c>
      <c r="G79" s="211"/>
      <c r="H79" s="203" t="s">
        <v>226</v>
      </c>
      <c r="I79" s="181"/>
    </row>
    <row r="80" spans="1:11" x14ac:dyDescent="0.25">
      <c r="B80" s="199" t="str">
        <f t="shared" ref="B80:B84" si="8">B72</f>
        <v>APUESTAS HIPICAS PALERMO reducido</v>
      </c>
      <c r="C80" s="200">
        <v>1</v>
      </c>
      <c r="D80" s="201" t="s">
        <v>66</v>
      </c>
      <c r="E80" s="201"/>
      <c r="F80" s="209">
        <f t="shared" ref="F80:F84" si="9">C72</f>
        <v>5512083.0700000003</v>
      </c>
      <c r="G80" s="200"/>
      <c r="H80" s="203" t="s">
        <v>226</v>
      </c>
    </row>
    <row r="81" spans="1:9" x14ac:dyDescent="0.25">
      <c r="B81" s="199" t="str">
        <f t="shared" si="8"/>
        <v>APUESTAS HIPICAS SAN ISIDRO completo</v>
      </c>
      <c r="C81" s="200">
        <v>1</v>
      </c>
      <c r="D81" s="201" t="s">
        <v>66</v>
      </c>
      <c r="E81" s="201"/>
      <c r="F81" s="209">
        <f t="shared" si="9"/>
        <v>578572.78</v>
      </c>
      <c r="G81" s="205"/>
      <c r="H81" s="203" t="s">
        <v>224</v>
      </c>
    </row>
    <row r="82" spans="1:9" x14ac:dyDescent="0.25">
      <c r="B82" s="199" t="str">
        <f t="shared" si="8"/>
        <v>APUESTAS HIPICAS SAN ISIDRO reducido</v>
      </c>
      <c r="C82" s="200">
        <v>1</v>
      </c>
      <c r="D82" s="201" t="s">
        <v>66</v>
      </c>
      <c r="E82" s="201"/>
      <c r="F82" s="209">
        <f t="shared" si="9"/>
        <v>7078628.2300000004</v>
      </c>
      <c r="G82" s="212"/>
      <c r="H82" s="203" t="s">
        <v>224</v>
      </c>
    </row>
    <row r="83" spans="1:9" x14ac:dyDescent="0.25">
      <c r="B83" s="199" t="str">
        <f t="shared" si="8"/>
        <v>APUESTAS HIPICAS LA PLATA completo</v>
      </c>
      <c r="C83" s="200">
        <v>1</v>
      </c>
      <c r="D83" s="201" t="s">
        <v>66</v>
      </c>
      <c r="E83" s="201"/>
      <c r="F83" s="209">
        <f t="shared" si="9"/>
        <v>419266.26</v>
      </c>
      <c r="G83" s="204"/>
      <c r="H83" s="203" t="s">
        <v>225</v>
      </c>
      <c r="I83" s="188"/>
    </row>
    <row r="84" spans="1:9" x14ac:dyDescent="0.25">
      <c r="B84" s="199" t="str">
        <f t="shared" si="8"/>
        <v>APUESTAS HIPICAS LA PLATA reducido</v>
      </c>
      <c r="C84" s="200">
        <v>1</v>
      </c>
      <c r="D84" s="201" t="s">
        <v>66</v>
      </c>
      <c r="E84" s="201"/>
      <c r="F84" s="209">
        <f t="shared" si="9"/>
        <v>5129570.6900000004</v>
      </c>
      <c r="G84" s="204"/>
      <c r="H84" s="203" t="s">
        <v>225</v>
      </c>
      <c r="I84" s="188"/>
    </row>
    <row r="85" spans="1:9" x14ac:dyDescent="0.25">
      <c r="C85" s="171"/>
      <c r="D85" s="115"/>
      <c r="E85" s="156"/>
    </row>
    <row r="86" spans="1:9" x14ac:dyDescent="0.25">
      <c r="D86" s="115"/>
      <c r="G86" s="115"/>
    </row>
    <row r="87" spans="1:9" x14ac:dyDescent="0.25">
      <c r="D87" s="115"/>
      <c r="G87" s="115"/>
    </row>
    <row r="88" spans="1:9" x14ac:dyDescent="0.25">
      <c r="B88" t="s">
        <v>202</v>
      </c>
      <c r="C88" s="92">
        <v>1</v>
      </c>
      <c r="D88" s="92" t="s">
        <v>66</v>
      </c>
      <c r="F88" s="210"/>
      <c r="G88" s="115"/>
    </row>
    <row r="89" spans="1:9" x14ac:dyDescent="0.25">
      <c r="B89" t="s">
        <v>203</v>
      </c>
      <c r="C89" s="92">
        <v>1</v>
      </c>
      <c r="D89" s="92" t="s">
        <v>66</v>
      </c>
      <c r="E89" s="115">
        <v>357039.5</v>
      </c>
    </row>
    <row r="90" spans="1:9" x14ac:dyDescent="0.25">
      <c r="B90" t="s">
        <v>204</v>
      </c>
      <c r="C90" s="92">
        <v>1</v>
      </c>
      <c r="D90" s="92" t="s">
        <v>66</v>
      </c>
      <c r="E90" s="115">
        <f>342746.34+2128188.05</f>
        <v>2470934.3899999997</v>
      </c>
    </row>
    <row r="91" spans="1:9" x14ac:dyDescent="0.25">
      <c r="B91" t="s">
        <v>205</v>
      </c>
      <c r="C91" s="92">
        <v>1</v>
      </c>
      <c r="D91" s="92" t="s">
        <v>66</v>
      </c>
    </row>
    <row r="92" spans="1:9" x14ac:dyDescent="0.25">
      <c r="C92" s="115"/>
      <c r="D92" s="92"/>
      <c r="E92" s="115">
        <f>SUM(E89:E91)</f>
        <v>2827973.8899999997</v>
      </c>
      <c r="F92" s="164"/>
      <c r="G92" s="92"/>
      <c r="H92" s="92"/>
      <c r="I92" s="189"/>
    </row>
    <row r="93" spans="1:9" x14ac:dyDescent="0.25">
      <c r="A93" s="92"/>
      <c r="B93" s="92"/>
      <c r="C93" s="92"/>
      <c r="D93" s="92"/>
      <c r="E93" s="160"/>
      <c r="F93" s="164"/>
      <c r="G93" s="92"/>
      <c r="H93" s="92"/>
      <c r="I93" s="189"/>
    </row>
    <row r="94" spans="1:9" x14ac:dyDescent="0.25">
      <c r="A94" s="92"/>
      <c r="B94" s="92"/>
      <c r="C94" s="92"/>
      <c r="D94" s="92"/>
      <c r="E94" s="160"/>
      <c r="F94" s="164"/>
      <c r="G94" s="92"/>
      <c r="H94" s="92"/>
      <c r="I94" s="189"/>
    </row>
    <row r="95" spans="1:9" x14ac:dyDescent="0.25">
      <c r="A95" s="92"/>
      <c r="B95" s="92"/>
      <c r="C95" s="92"/>
      <c r="D95" s="92"/>
      <c r="E95" s="160"/>
      <c r="F95" s="164"/>
      <c r="G95" s="92"/>
      <c r="H95" s="92"/>
      <c r="I95" s="189"/>
    </row>
    <row r="96" spans="1:9" x14ac:dyDescent="0.25">
      <c r="A96" s="92"/>
      <c r="B96" s="92"/>
      <c r="C96" s="92"/>
      <c r="D96" s="92"/>
      <c r="E96" s="160"/>
      <c r="F96" s="164"/>
      <c r="G96" s="92"/>
      <c r="H96" s="92"/>
      <c r="I96" s="189"/>
    </row>
    <row r="97" spans="1:9" x14ac:dyDescent="0.25">
      <c r="F97" s="164"/>
      <c r="G97" s="92"/>
      <c r="H97" s="92"/>
      <c r="I97" s="189"/>
    </row>
    <row r="99" spans="1:9" x14ac:dyDescent="0.25">
      <c r="A99" s="162"/>
      <c r="C99" s="101"/>
    </row>
    <row r="100" spans="1:9" x14ac:dyDescent="0.25">
      <c r="A100" t="s">
        <v>228</v>
      </c>
      <c r="B100">
        <v>1000017723</v>
      </c>
      <c r="C100" s="101">
        <f>C77</f>
        <v>19168652</v>
      </c>
    </row>
    <row r="101" spans="1:9" x14ac:dyDescent="0.25">
      <c r="A101" t="s">
        <v>229</v>
      </c>
      <c r="B101">
        <v>1000017726</v>
      </c>
      <c r="C101" s="101">
        <f>F65</f>
        <v>861957574.70500004</v>
      </c>
      <c r="G101" s="161"/>
    </row>
    <row r="102" spans="1:9" x14ac:dyDescent="0.25">
      <c r="A102" t="s">
        <v>183</v>
      </c>
      <c r="B102">
        <v>1000017727</v>
      </c>
      <c r="C102" s="101">
        <f>F66</f>
        <v>3788474.5260000001</v>
      </c>
      <c r="G102" s="161"/>
    </row>
    <row r="103" spans="1:9" x14ac:dyDescent="0.25">
      <c r="C103" s="101"/>
      <c r="D103" s="119"/>
      <c r="G103" s="161"/>
    </row>
    <row r="119" spans="6:9" x14ac:dyDescent="0.25">
      <c r="F119" s="206"/>
      <c r="G119" s="114"/>
      <c r="I119" s="190"/>
    </row>
    <row r="120" spans="6:9" x14ac:dyDescent="0.25">
      <c r="F120" s="206"/>
      <c r="G120" s="114"/>
      <c r="I120" s="190"/>
    </row>
    <row r="121" spans="6:9" x14ac:dyDescent="0.25">
      <c r="F121" s="206"/>
      <c r="G121" s="114"/>
      <c r="I121" s="190"/>
    </row>
    <row r="122" spans="6:9" x14ac:dyDescent="0.25">
      <c r="F122" s="206"/>
      <c r="G122" s="114"/>
      <c r="I122" s="190"/>
    </row>
    <row r="123" spans="6:9" x14ac:dyDescent="0.25">
      <c r="F123" s="206"/>
      <c r="G123" s="114"/>
      <c r="I123" s="190"/>
    </row>
    <row r="124" spans="6:9" x14ac:dyDescent="0.25">
      <c r="F124" s="206"/>
      <c r="G124" s="114"/>
      <c r="I124" s="190"/>
    </row>
    <row r="125" spans="6:9" x14ac:dyDescent="0.25">
      <c r="F125" s="206"/>
      <c r="G125" s="114"/>
      <c r="I125" s="190"/>
    </row>
    <row r="126" spans="6:9" x14ac:dyDescent="0.25">
      <c r="F126" s="206"/>
      <c r="G126" s="114"/>
      <c r="I126" s="190"/>
    </row>
    <row r="127" spans="6:9" x14ac:dyDescent="0.25">
      <c r="F127" s="206"/>
      <c r="G127" s="114"/>
      <c r="I127" s="190"/>
    </row>
    <row r="128" spans="6:9" x14ac:dyDescent="0.25">
      <c r="F128" s="206"/>
      <c r="G128" s="114"/>
      <c r="I128" s="190"/>
    </row>
    <row r="129" spans="6:9" x14ac:dyDescent="0.25">
      <c r="F129" s="206"/>
      <c r="G129" s="114"/>
      <c r="I129" s="190"/>
    </row>
    <row r="130" spans="6:9" x14ac:dyDescent="0.25">
      <c r="F130" s="206"/>
      <c r="G130" s="114"/>
      <c r="I130" s="190"/>
    </row>
    <row r="131" spans="6:9" x14ac:dyDescent="0.25">
      <c r="F131" s="206"/>
      <c r="G131" s="114"/>
      <c r="I131" s="191"/>
    </row>
    <row r="132" spans="6:9" x14ac:dyDescent="0.25">
      <c r="F132" s="206"/>
      <c r="G132" s="114"/>
      <c r="I132" s="191"/>
    </row>
    <row r="133" spans="6:9" x14ac:dyDescent="0.25">
      <c r="F133" s="206"/>
      <c r="G133" s="114"/>
      <c r="I133" s="191"/>
    </row>
    <row r="134" spans="6:9" x14ac:dyDescent="0.25">
      <c r="F134" s="206"/>
      <c r="G134" s="114"/>
      <c r="I134" s="191"/>
    </row>
    <row r="135" spans="6:9" x14ac:dyDescent="0.25">
      <c r="H135" s="114"/>
      <c r="I135" s="191"/>
    </row>
    <row r="136" spans="6:9" x14ac:dyDescent="0.25">
      <c r="H136" s="114"/>
      <c r="I136" s="191"/>
    </row>
    <row r="137" spans="6:9" x14ac:dyDescent="0.25">
      <c r="H137" s="114"/>
      <c r="I137" s="191"/>
    </row>
    <row r="138" spans="6:9" x14ac:dyDescent="0.25">
      <c r="H138" s="114"/>
      <c r="I138" s="191"/>
    </row>
    <row r="139" spans="6:9" x14ac:dyDescent="0.25">
      <c r="F139" s="206"/>
      <c r="G139" s="114"/>
      <c r="I139" s="191"/>
    </row>
    <row r="140" spans="6:9" x14ac:dyDescent="0.25">
      <c r="F140" s="206"/>
      <c r="G140" s="114"/>
      <c r="I140" s="191"/>
    </row>
    <row r="141" spans="6:9" x14ac:dyDescent="0.25">
      <c r="F141" s="206"/>
      <c r="G141" s="114"/>
      <c r="I141" s="191"/>
    </row>
    <row r="142" spans="6:9" x14ac:dyDescent="0.25">
      <c r="F142" s="206"/>
      <c r="G142" s="114"/>
      <c r="I142" s="191"/>
    </row>
    <row r="143" spans="6:9" x14ac:dyDescent="0.25">
      <c r="F143" s="206"/>
      <c r="G143" s="114"/>
      <c r="I143" s="191"/>
    </row>
    <row r="144" spans="6:9" x14ac:dyDescent="0.25">
      <c r="F144" s="206"/>
      <c r="G144" s="114"/>
      <c r="I144" s="191"/>
    </row>
    <row r="145" spans="6:9" x14ac:dyDescent="0.25">
      <c r="F145" s="206"/>
      <c r="G145" s="114"/>
      <c r="I145" s="191"/>
    </row>
    <row r="146" spans="6:9" x14ac:dyDescent="0.25">
      <c r="F146" s="206"/>
      <c r="G146" s="114"/>
      <c r="I146" s="191"/>
    </row>
    <row r="147" spans="6:9" x14ac:dyDescent="0.25">
      <c r="F147" s="206"/>
      <c r="G147" s="114"/>
      <c r="I147" s="191"/>
    </row>
    <row r="148" spans="6:9" x14ac:dyDescent="0.25">
      <c r="F148" s="206"/>
      <c r="G148" s="114"/>
      <c r="I148" s="191"/>
    </row>
    <row r="149" spans="6:9" x14ac:dyDescent="0.25">
      <c r="F149" s="206"/>
      <c r="G149" s="114"/>
      <c r="I149" s="191"/>
    </row>
    <row r="150" spans="6:9" x14ac:dyDescent="0.25">
      <c r="F150" s="206"/>
      <c r="G150" s="114"/>
      <c r="I150" s="191"/>
    </row>
    <row r="151" spans="6:9" x14ac:dyDescent="0.25">
      <c r="F151" s="206"/>
      <c r="G151" s="114"/>
      <c r="I151" s="191"/>
    </row>
    <row r="152" spans="6:9" x14ac:dyDescent="0.25">
      <c r="F152" s="206"/>
      <c r="G152" s="114"/>
      <c r="I152" s="191"/>
    </row>
    <row r="153" spans="6:9" x14ac:dyDescent="0.25">
      <c r="F153" s="206"/>
      <c r="G153" s="114"/>
      <c r="I153" s="191"/>
    </row>
    <row r="154" spans="6:9" x14ac:dyDescent="0.25">
      <c r="F154" s="206"/>
      <c r="G154" s="114"/>
      <c r="I154" s="191"/>
    </row>
    <row r="155" spans="6:9" x14ac:dyDescent="0.25">
      <c r="F155" s="206"/>
      <c r="G155" s="114"/>
      <c r="I155" s="191"/>
    </row>
    <row r="156" spans="6:9" x14ac:dyDescent="0.25">
      <c r="F156" s="206"/>
      <c r="G156" s="114"/>
      <c r="I156" s="191"/>
    </row>
    <row r="157" spans="6:9" x14ac:dyDescent="0.25">
      <c r="H157" s="114"/>
      <c r="I157" s="191"/>
    </row>
    <row r="158" spans="6:9" x14ac:dyDescent="0.25">
      <c r="H158" s="114"/>
      <c r="I158" s="191"/>
    </row>
    <row r="159" spans="6:9" x14ac:dyDescent="0.25">
      <c r="H159" s="114"/>
      <c r="I159" s="191"/>
    </row>
    <row r="160" spans="6:9" x14ac:dyDescent="0.25">
      <c r="H160" s="114"/>
      <c r="I160" s="191"/>
    </row>
    <row r="161" spans="7:10" x14ac:dyDescent="0.25">
      <c r="G161" s="115"/>
      <c r="H161" s="115"/>
      <c r="I161" s="188"/>
      <c r="J161" s="115"/>
    </row>
    <row r="162" spans="7:10" x14ac:dyDescent="0.25">
      <c r="I162" s="191"/>
    </row>
    <row r="163" spans="7:10" x14ac:dyDescent="0.25">
      <c r="I163" s="191"/>
    </row>
    <row r="164" spans="7:10" x14ac:dyDescent="0.25">
      <c r="I164" s="191"/>
    </row>
    <row r="165" spans="7:10" x14ac:dyDescent="0.25">
      <c r="I165" s="191"/>
    </row>
    <row r="166" spans="7:10" x14ac:dyDescent="0.25">
      <c r="I166" s="191"/>
    </row>
    <row r="167" spans="7:10" x14ac:dyDescent="0.25">
      <c r="I167" s="191"/>
    </row>
    <row r="168" spans="7:10" x14ac:dyDescent="0.25">
      <c r="I168" s="191"/>
    </row>
    <row r="169" spans="7:10" x14ac:dyDescent="0.25">
      <c r="I169" s="191"/>
    </row>
    <row r="170" spans="7:10" x14ac:dyDescent="0.25">
      <c r="I170" s="191"/>
    </row>
  </sheetData>
  <mergeCells count="1">
    <mergeCell ref="B78:H78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401"/>
  <sheetViews>
    <sheetView workbookViewId="0">
      <selection activeCell="B49" sqref="B49"/>
    </sheetView>
  </sheetViews>
  <sheetFormatPr baseColWidth="10" defaultRowHeight="15" x14ac:dyDescent="0.25"/>
  <cols>
    <col min="2" max="2" width="23.85546875" bestFit="1" customWidth="1"/>
    <col min="10" max="10" width="16.85546875" style="97" bestFit="1" customWidth="1"/>
    <col min="11" max="11" width="16.7109375" bestFit="1" customWidth="1"/>
  </cols>
  <sheetData>
    <row r="1" spans="1:11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s="97" t="s">
        <v>154</v>
      </c>
    </row>
    <row r="2" spans="1:11" x14ac:dyDescent="0.25">
      <c r="A2">
        <v>13</v>
      </c>
      <c r="B2" t="s">
        <v>49</v>
      </c>
      <c r="C2" s="136">
        <v>46026</v>
      </c>
      <c r="D2">
        <v>1335</v>
      </c>
      <c r="E2">
        <v>0</v>
      </c>
      <c r="F2">
        <v>0</v>
      </c>
      <c r="G2">
        <v>11606</v>
      </c>
      <c r="H2">
        <v>13927200</v>
      </c>
      <c r="I2">
        <v>11606</v>
      </c>
      <c r="J2" s="97">
        <v>13927200</v>
      </c>
    </row>
    <row r="3" spans="1:11" x14ac:dyDescent="0.25">
      <c r="A3">
        <v>13</v>
      </c>
      <c r="B3" t="s">
        <v>49</v>
      </c>
      <c r="C3" s="136">
        <v>46033</v>
      </c>
      <c r="D3">
        <v>1336</v>
      </c>
      <c r="E3">
        <v>0</v>
      </c>
      <c r="F3">
        <v>0</v>
      </c>
      <c r="G3">
        <v>11444</v>
      </c>
      <c r="H3">
        <v>13732800</v>
      </c>
      <c r="I3">
        <v>11444</v>
      </c>
      <c r="J3" s="97">
        <v>13732800</v>
      </c>
    </row>
    <row r="4" spans="1:11" x14ac:dyDescent="0.25">
      <c r="A4">
        <v>13</v>
      </c>
      <c r="B4" t="s">
        <v>49</v>
      </c>
      <c r="C4" s="136">
        <v>46040</v>
      </c>
      <c r="D4">
        <v>1337</v>
      </c>
      <c r="E4">
        <v>0</v>
      </c>
      <c r="F4">
        <v>0</v>
      </c>
      <c r="G4">
        <v>11236</v>
      </c>
      <c r="H4">
        <v>13483200</v>
      </c>
      <c r="I4">
        <v>11236</v>
      </c>
      <c r="J4" s="97">
        <v>13483200</v>
      </c>
    </row>
    <row r="5" spans="1:11" x14ac:dyDescent="0.25">
      <c r="A5">
        <v>13</v>
      </c>
      <c r="B5" t="s">
        <v>49</v>
      </c>
      <c r="C5" s="136">
        <v>46047</v>
      </c>
      <c r="D5">
        <v>1338</v>
      </c>
      <c r="E5">
        <v>0</v>
      </c>
      <c r="F5">
        <v>0</v>
      </c>
      <c r="G5">
        <v>11290</v>
      </c>
      <c r="H5">
        <v>13548000</v>
      </c>
      <c r="I5">
        <v>11290</v>
      </c>
      <c r="J5" s="97">
        <v>13548000</v>
      </c>
    </row>
    <row r="6" spans="1:11" x14ac:dyDescent="0.25">
      <c r="A6">
        <v>41</v>
      </c>
      <c r="B6" t="s">
        <v>222</v>
      </c>
      <c r="C6" s="136">
        <v>46018</v>
      </c>
      <c r="D6">
        <v>6018</v>
      </c>
      <c r="E6">
        <v>487</v>
      </c>
      <c r="F6">
        <v>3409000</v>
      </c>
      <c r="G6">
        <v>216153</v>
      </c>
      <c r="H6">
        <v>1513071000</v>
      </c>
      <c r="I6">
        <v>216640</v>
      </c>
      <c r="J6" s="97">
        <v>1516480000</v>
      </c>
      <c r="K6" s="97">
        <f>J6/7000</f>
        <v>216640</v>
      </c>
    </row>
    <row r="7" spans="1:11" x14ac:dyDescent="0.25">
      <c r="A7">
        <v>41</v>
      </c>
      <c r="B7" t="s">
        <v>222</v>
      </c>
      <c r="C7" s="136">
        <v>46039</v>
      </c>
      <c r="D7">
        <v>6019</v>
      </c>
      <c r="E7">
        <v>385</v>
      </c>
      <c r="F7">
        <v>1347500</v>
      </c>
      <c r="G7">
        <v>86337</v>
      </c>
      <c r="H7">
        <v>302179500</v>
      </c>
      <c r="I7">
        <v>86722</v>
      </c>
      <c r="J7" s="97">
        <v>303527000</v>
      </c>
      <c r="K7" s="167"/>
    </row>
    <row r="8" spans="1:11" x14ac:dyDescent="0.25">
      <c r="A8">
        <v>5</v>
      </c>
      <c r="B8" t="s">
        <v>121</v>
      </c>
      <c r="C8" s="136">
        <v>46025</v>
      </c>
      <c r="D8">
        <v>1425</v>
      </c>
      <c r="E8">
        <v>103</v>
      </c>
      <c r="F8">
        <v>82400</v>
      </c>
      <c r="G8">
        <v>10375</v>
      </c>
      <c r="H8">
        <v>8300000</v>
      </c>
      <c r="I8">
        <v>45884</v>
      </c>
      <c r="J8" s="97">
        <v>36707200</v>
      </c>
    </row>
    <row r="9" spans="1:11" x14ac:dyDescent="0.25">
      <c r="A9">
        <v>5</v>
      </c>
      <c r="B9" t="s">
        <v>121</v>
      </c>
      <c r="C9" s="136">
        <v>46032</v>
      </c>
      <c r="D9">
        <v>1426</v>
      </c>
      <c r="E9">
        <v>148</v>
      </c>
      <c r="F9">
        <v>118400</v>
      </c>
      <c r="G9">
        <v>11567</v>
      </c>
      <c r="H9">
        <v>9253600</v>
      </c>
      <c r="I9">
        <v>48663</v>
      </c>
      <c r="J9" s="97">
        <v>38930400</v>
      </c>
    </row>
    <row r="10" spans="1:11" x14ac:dyDescent="0.25">
      <c r="A10">
        <v>5</v>
      </c>
      <c r="B10" t="s">
        <v>121</v>
      </c>
      <c r="C10" s="136">
        <v>46039</v>
      </c>
      <c r="D10">
        <v>1427</v>
      </c>
      <c r="E10">
        <v>253</v>
      </c>
      <c r="F10">
        <v>202400</v>
      </c>
      <c r="G10">
        <v>11184</v>
      </c>
      <c r="H10">
        <v>8947200</v>
      </c>
      <c r="I10">
        <v>46700</v>
      </c>
      <c r="J10" s="97">
        <v>37360000</v>
      </c>
    </row>
    <row r="11" spans="1:11" x14ac:dyDescent="0.25">
      <c r="A11">
        <v>5</v>
      </c>
      <c r="B11" t="s">
        <v>121</v>
      </c>
      <c r="C11" s="136">
        <v>46046</v>
      </c>
      <c r="D11">
        <v>1428</v>
      </c>
      <c r="E11">
        <v>166</v>
      </c>
      <c r="F11">
        <v>132800</v>
      </c>
      <c r="G11">
        <v>11515</v>
      </c>
      <c r="H11">
        <v>9212000</v>
      </c>
      <c r="I11">
        <v>47777</v>
      </c>
      <c r="J11" s="97">
        <v>38221600</v>
      </c>
    </row>
    <row r="12" spans="1:11" x14ac:dyDescent="0.25">
      <c r="A12">
        <v>5</v>
      </c>
      <c r="B12" t="s">
        <v>121</v>
      </c>
      <c r="C12" s="136">
        <v>46053</v>
      </c>
      <c r="D12">
        <v>1429</v>
      </c>
      <c r="E12">
        <v>170</v>
      </c>
      <c r="F12">
        <v>136000</v>
      </c>
      <c r="G12">
        <v>9644</v>
      </c>
      <c r="H12">
        <v>7715200</v>
      </c>
      <c r="I12">
        <v>42332</v>
      </c>
      <c r="J12" s="97">
        <v>33865600</v>
      </c>
    </row>
    <row r="13" spans="1:11" x14ac:dyDescent="0.25">
      <c r="A13">
        <v>7</v>
      </c>
      <c r="B13" t="s">
        <v>155</v>
      </c>
      <c r="C13" s="136">
        <v>46025</v>
      </c>
      <c r="D13">
        <v>3845</v>
      </c>
      <c r="E13">
        <v>472</v>
      </c>
      <c r="F13">
        <v>118000</v>
      </c>
      <c r="G13">
        <v>48959</v>
      </c>
      <c r="H13">
        <v>12239750</v>
      </c>
      <c r="I13">
        <v>391490</v>
      </c>
      <c r="J13" s="97">
        <v>97872500</v>
      </c>
    </row>
    <row r="14" spans="1:11" x14ac:dyDescent="0.25">
      <c r="A14">
        <v>7</v>
      </c>
      <c r="B14" t="s">
        <v>155</v>
      </c>
      <c r="C14" s="136">
        <v>46029</v>
      </c>
      <c r="D14">
        <v>3846</v>
      </c>
      <c r="E14">
        <v>434</v>
      </c>
      <c r="F14">
        <v>130200</v>
      </c>
      <c r="G14">
        <v>43204</v>
      </c>
      <c r="H14">
        <v>12961200</v>
      </c>
      <c r="I14">
        <v>310594</v>
      </c>
      <c r="J14" s="97">
        <v>93178200</v>
      </c>
    </row>
    <row r="15" spans="1:11" x14ac:dyDescent="0.25">
      <c r="A15">
        <v>7</v>
      </c>
      <c r="B15" t="s">
        <v>155</v>
      </c>
      <c r="C15" s="136">
        <v>46032</v>
      </c>
      <c r="D15">
        <v>3847</v>
      </c>
      <c r="E15">
        <v>408</v>
      </c>
      <c r="F15">
        <v>122400</v>
      </c>
      <c r="G15">
        <v>51135</v>
      </c>
      <c r="H15">
        <v>15340500</v>
      </c>
      <c r="I15">
        <v>390040</v>
      </c>
      <c r="J15" s="97">
        <v>117012000</v>
      </c>
    </row>
    <row r="16" spans="1:11" x14ac:dyDescent="0.25">
      <c r="A16">
        <v>7</v>
      </c>
      <c r="B16" t="s">
        <v>155</v>
      </c>
      <c r="C16" s="136">
        <v>46036</v>
      </c>
      <c r="D16">
        <v>3848</v>
      </c>
      <c r="E16">
        <v>447</v>
      </c>
      <c r="F16">
        <v>134100</v>
      </c>
      <c r="G16">
        <v>41956</v>
      </c>
      <c r="H16">
        <v>12586800</v>
      </c>
      <c r="I16">
        <v>303011</v>
      </c>
      <c r="J16" s="97">
        <v>90903300</v>
      </c>
    </row>
    <row r="17" spans="1:13" x14ac:dyDescent="0.25">
      <c r="A17">
        <v>7</v>
      </c>
      <c r="B17" t="s">
        <v>155</v>
      </c>
      <c r="C17" s="136">
        <v>46039</v>
      </c>
      <c r="D17">
        <v>3849</v>
      </c>
      <c r="E17">
        <v>405</v>
      </c>
      <c r="F17">
        <v>121500</v>
      </c>
      <c r="G17">
        <v>49307</v>
      </c>
      <c r="H17">
        <v>14792100</v>
      </c>
      <c r="I17">
        <v>379514</v>
      </c>
      <c r="J17" s="97">
        <v>113854200</v>
      </c>
    </row>
    <row r="18" spans="1:13" x14ac:dyDescent="0.25">
      <c r="A18">
        <v>7</v>
      </c>
      <c r="B18" t="s">
        <v>155</v>
      </c>
      <c r="C18" s="136">
        <v>46043</v>
      </c>
      <c r="D18">
        <v>3850</v>
      </c>
      <c r="E18">
        <v>457</v>
      </c>
      <c r="F18">
        <v>137100</v>
      </c>
      <c r="G18">
        <v>42223</v>
      </c>
      <c r="H18">
        <v>12666900</v>
      </c>
      <c r="I18">
        <v>303381</v>
      </c>
      <c r="J18" s="97">
        <v>91014300</v>
      </c>
    </row>
    <row r="19" spans="1:13" x14ac:dyDescent="0.25">
      <c r="A19">
        <v>7</v>
      </c>
      <c r="B19" t="s">
        <v>155</v>
      </c>
      <c r="C19" s="136">
        <v>46046</v>
      </c>
      <c r="D19">
        <v>3851</v>
      </c>
      <c r="E19">
        <v>432</v>
      </c>
      <c r="F19">
        <v>129600</v>
      </c>
      <c r="G19">
        <v>49160</v>
      </c>
      <c r="H19">
        <v>14748000</v>
      </c>
      <c r="I19">
        <v>377066</v>
      </c>
      <c r="J19" s="97">
        <v>113119800</v>
      </c>
      <c r="M19" s="136"/>
    </row>
    <row r="20" spans="1:13" x14ac:dyDescent="0.25">
      <c r="A20">
        <v>7</v>
      </c>
      <c r="B20" t="s">
        <v>155</v>
      </c>
      <c r="C20" s="136">
        <v>46050</v>
      </c>
      <c r="D20">
        <v>3852</v>
      </c>
      <c r="E20">
        <v>498</v>
      </c>
      <c r="F20">
        <v>149400</v>
      </c>
      <c r="G20">
        <v>41271</v>
      </c>
      <c r="H20">
        <v>12381300</v>
      </c>
      <c r="I20">
        <v>298628</v>
      </c>
      <c r="J20" s="97">
        <v>89588400</v>
      </c>
      <c r="M20" s="136"/>
    </row>
    <row r="21" spans="1:13" x14ac:dyDescent="0.25">
      <c r="A21">
        <v>7</v>
      </c>
      <c r="B21" t="s">
        <v>155</v>
      </c>
      <c r="C21" s="136">
        <v>46053</v>
      </c>
      <c r="D21">
        <v>3853</v>
      </c>
      <c r="E21">
        <v>472</v>
      </c>
      <c r="F21">
        <v>141600</v>
      </c>
      <c r="G21">
        <v>51033</v>
      </c>
      <c r="H21">
        <v>15309900</v>
      </c>
      <c r="I21">
        <v>382643</v>
      </c>
      <c r="J21" s="97">
        <v>114792900</v>
      </c>
    </row>
    <row r="22" spans="1:13" x14ac:dyDescent="0.25">
      <c r="A22">
        <v>8</v>
      </c>
      <c r="B22" t="s">
        <v>156</v>
      </c>
      <c r="C22" s="136">
        <v>46025</v>
      </c>
      <c r="D22">
        <v>3845</v>
      </c>
      <c r="E22">
        <v>472</v>
      </c>
      <c r="F22">
        <v>236000</v>
      </c>
      <c r="G22">
        <v>48959</v>
      </c>
      <c r="H22">
        <v>24479500</v>
      </c>
      <c r="I22">
        <v>391490</v>
      </c>
      <c r="J22" s="97">
        <v>195745000</v>
      </c>
    </row>
    <row r="23" spans="1:13" x14ac:dyDescent="0.25">
      <c r="A23">
        <v>8</v>
      </c>
      <c r="B23" t="s">
        <v>156</v>
      </c>
      <c r="C23" s="136">
        <v>46029</v>
      </c>
      <c r="D23">
        <v>3846</v>
      </c>
      <c r="E23">
        <v>434</v>
      </c>
      <c r="F23">
        <v>260400</v>
      </c>
      <c r="G23">
        <v>43204</v>
      </c>
      <c r="H23">
        <v>25922400</v>
      </c>
      <c r="I23">
        <v>310594</v>
      </c>
      <c r="J23" s="97">
        <v>186356400</v>
      </c>
    </row>
    <row r="24" spans="1:13" x14ac:dyDescent="0.25">
      <c r="A24">
        <v>8</v>
      </c>
      <c r="B24" t="s">
        <v>156</v>
      </c>
      <c r="C24" s="136">
        <v>46032</v>
      </c>
      <c r="D24">
        <v>3847</v>
      </c>
      <c r="E24">
        <v>408</v>
      </c>
      <c r="F24">
        <v>244800</v>
      </c>
      <c r="G24">
        <v>51135</v>
      </c>
      <c r="H24">
        <v>30681000</v>
      </c>
      <c r="I24">
        <v>390040</v>
      </c>
      <c r="J24" s="97">
        <v>234024000</v>
      </c>
    </row>
    <row r="25" spans="1:13" x14ac:dyDescent="0.25">
      <c r="A25">
        <v>8</v>
      </c>
      <c r="B25" t="s">
        <v>156</v>
      </c>
      <c r="C25" s="136">
        <v>46036</v>
      </c>
      <c r="D25">
        <v>3848</v>
      </c>
      <c r="E25">
        <v>447</v>
      </c>
      <c r="F25">
        <v>268200</v>
      </c>
      <c r="G25">
        <v>41956</v>
      </c>
      <c r="H25">
        <v>25173600</v>
      </c>
      <c r="I25">
        <v>303011</v>
      </c>
      <c r="J25" s="97">
        <v>181806600</v>
      </c>
    </row>
    <row r="26" spans="1:13" x14ac:dyDescent="0.25">
      <c r="A26">
        <v>8</v>
      </c>
      <c r="B26" t="s">
        <v>156</v>
      </c>
      <c r="C26" s="136">
        <v>46039</v>
      </c>
      <c r="D26">
        <v>3849</v>
      </c>
      <c r="E26">
        <v>405</v>
      </c>
      <c r="F26">
        <v>243000</v>
      </c>
      <c r="G26">
        <v>49307</v>
      </c>
      <c r="H26">
        <v>29584200</v>
      </c>
      <c r="I26">
        <v>379514</v>
      </c>
      <c r="J26" s="97">
        <v>227708400</v>
      </c>
    </row>
    <row r="27" spans="1:13" x14ac:dyDescent="0.25">
      <c r="A27">
        <v>8</v>
      </c>
      <c r="B27" t="s">
        <v>156</v>
      </c>
      <c r="C27" s="136">
        <v>46043</v>
      </c>
      <c r="D27">
        <v>3850</v>
      </c>
      <c r="E27">
        <v>457</v>
      </c>
      <c r="F27">
        <v>274200</v>
      </c>
      <c r="G27">
        <v>42223</v>
      </c>
      <c r="H27">
        <v>25333800</v>
      </c>
      <c r="I27">
        <v>303381</v>
      </c>
      <c r="J27" s="97">
        <v>182028600</v>
      </c>
    </row>
    <row r="28" spans="1:13" x14ac:dyDescent="0.25">
      <c r="A28">
        <v>8</v>
      </c>
      <c r="B28" t="s">
        <v>156</v>
      </c>
      <c r="C28" s="136">
        <v>46046</v>
      </c>
      <c r="D28">
        <v>3851</v>
      </c>
      <c r="E28">
        <v>432</v>
      </c>
      <c r="F28">
        <v>259200</v>
      </c>
      <c r="G28">
        <v>49160</v>
      </c>
      <c r="H28">
        <v>29496000</v>
      </c>
      <c r="I28">
        <v>377066</v>
      </c>
      <c r="J28" s="97">
        <v>226239600</v>
      </c>
    </row>
    <row r="29" spans="1:13" x14ac:dyDescent="0.25">
      <c r="A29">
        <v>8</v>
      </c>
      <c r="B29" t="s">
        <v>156</v>
      </c>
      <c r="C29" s="136">
        <v>46050</v>
      </c>
      <c r="D29">
        <v>3852</v>
      </c>
      <c r="E29">
        <v>498</v>
      </c>
      <c r="F29">
        <v>298800</v>
      </c>
      <c r="G29">
        <v>41271</v>
      </c>
      <c r="H29">
        <v>24762600</v>
      </c>
      <c r="I29">
        <v>298628</v>
      </c>
      <c r="J29" s="97">
        <v>179176800</v>
      </c>
    </row>
    <row r="30" spans="1:13" x14ac:dyDescent="0.25">
      <c r="A30">
        <v>8</v>
      </c>
      <c r="B30" t="s">
        <v>156</v>
      </c>
      <c r="C30" s="136">
        <v>46053</v>
      </c>
      <c r="D30">
        <v>3853</v>
      </c>
      <c r="E30">
        <v>472</v>
      </c>
      <c r="F30">
        <v>283200</v>
      </c>
      <c r="G30">
        <v>51033</v>
      </c>
      <c r="H30">
        <v>30619800</v>
      </c>
      <c r="I30">
        <v>382643</v>
      </c>
      <c r="J30" s="97">
        <v>229585800</v>
      </c>
    </row>
    <row r="31" spans="1:13" x14ac:dyDescent="0.25">
      <c r="A31">
        <v>9</v>
      </c>
      <c r="B31" t="s">
        <v>157</v>
      </c>
      <c r="C31" s="136">
        <v>46025</v>
      </c>
      <c r="D31">
        <v>3845</v>
      </c>
      <c r="E31">
        <v>472</v>
      </c>
      <c r="F31">
        <v>259600</v>
      </c>
      <c r="G31">
        <v>48959</v>
      </c>
      <c r="H31">
        <v>26927450</v>
      </c>
      <c r="I31">
        <v>391490</v>
      </c>
      <c r="J31" s="97">
        <v>215319500</v>
      </c>
    </row>
    <row r="32" spans="1:13" x14ac:dyDescent="0.25">
      <c r="A32">
        <v>9</v>
      </c>
      <c r="B32" t="s">
        <v>157</v>
      </c>
      <c r="C32" s="136">
        <v>46029</v>
      </c>
      <c r="D32">
        <v>3846</v>
      </c>
      <c r="E32">
        <v>434</v>
      </c>
      <c r="F32">
        <v>286440</v>
      </c>
      <c r="G32">
        <v>43204</v>
      </c>
      <c r="H32">
        <v>28514640</v>
      </c>
      <c r="I32">
        <v>310594</v>
      </c>
      <c r="J32" s="97">
        <v>204992040</v>
      </c>
    </row>
    <row r="33" spans="1:10" x14ac:dyDescent="0.25">
      <c r="A33">
        <v>9</v>
      </c>
      <c r="B33" t="s">
        <v>157</v>
      </c>
      <c r="C33" s="136">
        <v>46032</v>
      </c>
      <c r="D33">
        <v>3847</v>
      </c>
      <c r="E33">
        <v>408</v>
      </c>
      <c r="F33">
        <v>269280</v>
      </c>
      <c r="G33">
        <v>51135</v>
      </c>
      <c r="H33">
        <v>33749100</v>
      </c>
      <c r="I33">
        <v>390040</v>
      </c>
      <c r="J33" s="97">
        <v>257426400</v>
      </c>
    </row>
    <row r="34" spans="1:10" x14ac:dyDescent="0.25">
      <c r="A34">
        <v>9</v>
      </c>
      <c r="B34" t="s">
        <v>157</v>
      </c>
      <c r="C34" s="136">
        <v>46036</v>
      </c>
      <c r="D34">
        <v>3848</v>
      </c>
      <c r="E34">
        <v>447</v>
      </c>
      <c r="F34">
        <v>295020</v>
      </c>
      <c r="G34">
        <v>41956</v>
      </c>
      <c r="H34">
        <v>27690960</v>
      </c>
      <c r="I34">
        <v>303011</v>
      </c>
      <c r="J34" s="97">
        <v>199987260</v>
      </c>
    </row>
    <row r="35" spans="1:10" x14ac:dyDescent="0.25">
      <c r="A35">
        <v>9</v>
      </c>
      <c r="B35" t="s">
        <v>157</v>
      </c>
      <c r="C35" s="136">
        <v>46039</v>
      </c>
      <c r="D35">
        <v>3849</v>
      </c>
      <c r="E35">
        <v>405</v>
      </c>
      <c r="F35">
        <v>267300</v>
      </c>
      <c r="G35">
        <v>49307</v>
      </c>
      <c r="H35">
        <v>32542620</v>
      </c>
      <c r="I35">
        <v>379514</v>
      </c>
      <c r="J35" s="97">
        <v>250479240</v>
      </c>
    </row>
    <row r="36" spans="1:10" x14ac:dyDescent="0.25">
      <c r="A36">
        <v>9</v>
      </c>
      <c r="B36" t="s">
        <v>157</v>
      </c>
      <c r="C36" s="136">
        <v>46043</v>
      </c>
      <c r="D36">
        <v>3850</v>
      </c>
      <c r="E36">
        <v>457</v>
      </c>
      <c r="F36">
        <v>301620</v>
      </c>
      <c r="G36">
        <v>42223</v>
      </c>
      <c r="H36">
        <v>27867180</v>
      </c>
      <c r="I36">
        <v>303381</v>
      </c>
      <c r="J36" s="97">
        <v>200231460</v>
      </c>
    </row>
    <row r="37" spans="1:10" x14ac:dyDescent="0.25">
      <c r="A37">
        <v>9</v>
      </c>
      <c r="B37" t="s">
        <v>157</v>
      </c>
      <c r="C37" s="136">
        <v>46046</v>
      </c>
      <c r="D37">
        <v>3851</v>
      </c>
      <c r="E37">
        <v>432</v>
      </c>
      <c r="F37">
        <v>285120</v>
      </c>
      <c r="G37">
        <v>49160</v>
      </c>
      <c r="H37">
        <v>32445600</v>
      </c>
      <c r="I37">
        <v>377066</v>
      </c>
      <c r="J37" s="97">
        <v>248863560</v>
      </c>
    </row>
    <row r="38" spans="1:10" x14ac:dyDescent="0.25">
      <c r="A38">
        <v>9</v>
      </c>
      <c r="B38" t="s">
        <v>157</v>
      </c>
      <c r="C38" s="136">
        <v>46050</v>
      </c>
      <c r="D38">
        <v>3852</v>
      </c>
      <c r="E38">
        <v>498</v>
      </c>
      <c r="F38">
        <v>328680</v>
      </c>
      <c r="G38">
        <v>41271</v>
      </c>
      <c r="H38">
        <v>27238860</v>
      </c>
      <c r="I38">
        <v>298628</v>
      </c>
      <c r="J38" s="97">
        <v>197094480</v>
      </c>
    </row>
    <row r="39" spans="1:10" x14ac:dyDescent="0.25">
      <c r="A39">
        <v>9</v>
      </c>
      <c r="B39" t="s">
        <v>157</v>
      </c>
      <c r="C39" s="136">
        <v>46053</v>
      </c>
      <c r="D39">
        <v>3853</v>
      </c>
      <c r="E39">
        <v>472</v>
      </c>
      <c r="F39">
        <v>311520</v>
      </c>
      <c r="G39">
        <v>51033</v>
      </c>
      <c r="H39">
        <v>33681780</v>
      </c>
      <c r="I39">
        <v>382643</v>
      </c>
      <c r="J39" s="97">
        <v>252544380</v>
      </c>
    </row>
    <row r="40" spans="1:10" x14ac:dyDescent="0.25">
      <c r="A40">
        <v>10</v>
      </c>
      <c r="B40" t="s">
        <v>164</v>
      </c>
      <c r="C40" s="136">
        <v>46025</v>
      </c>
      <c r="D40">
        <v>3845</v>
      </c>
      <c r="E40">
        <v>472</v>
      </c>
      <c r="F40">
        <v>259600</v>
      </c>
      <c r="G40">
        <v>48959</v>
      </c>
      <c r="H40">
        <v>26927450</v>
      </c>
      <c r="I40">
        <v>391490</v>
      </c>
      <c r="J40" s="97">
        <v>215319500</v>
      </c>
    </row>
    <row r="41" spans="1:10" x14ac:dyDescent="0.25">
      <c r="A41">
        <v>10</v>
      </c>
      <c r="B41" t="s">
        <v>164</v>
      </c>
      <c r="C41" s="136">
        <v>46029</v>
      </c>
      <c r="D41">
        <v>3846</v>
      </c>
      <c r="E41">
        <v>434</v>
      </c>
      <c r="F41">
        <v>286440</v>
      </c>
      <c r="G41">
        <v>43204</v>
      </c>
      <c r="H41">
        <v>28514640</v>
      </c>
      <c r="I41">
        <v>310594</v>
      </c>
      <c r="J41" s="97">
        <v>204992040</v>
      </c>
    </row>
    <row r="42" spans="1:10" x14ac:dyDescent="0.25">
      <c r="A42">
        <v>10</v>
      </c>
      <c r="B42" t="s">
        <v>164</v>
      </c>
      <c r="C42" s="136">
        <v>46032</v>
      </c>
      <c r="D42">
        <v>3847</v>
      </c>
      <c r="E42">
        <v>408</v>
      </c>
      <c r="F42">
        <v>269280</v>
      </c>
      <c r="G42">
        <v>51135</v>
      </c>
      <c r="H42">
        <v>33749100</v>
      </c>
      <c r="I42">
        <v>390040</v>
      </c>
      <c r="J42" s="97">
        <v>257426400</v>
      </c>
    </row>
    <row r="43" spans="1:10" x14ac:dyDescent="0.25">
      <c r="A43">
        <v>10</v>
      </c>
      <c r="B43" t="s">
        <v>164</v>
      </c>
      <c r="C43" s="136">
        <v>46036</v>
      </c>
      <c r="D43">
        <v>3848</v>
      </c>
      <c r="E43">
        <v>447</v>
      </c>
      <c r="F43">
        <v>295020</v>
      </c>
      <c r="G43">
        <v>41956</v>
      </c>
      <c r="H43">
        <v>27690960</v>
      </c>
      <c r="I43">
        <v>303011</v>
      </c>
      <c r="J43" s="97">
        <v>199987260</v>
      </c>
    </row>
    <row r="44" spans="1:10" x14ac:dyDescent="0.25">
      <c r="A44">
        <v>10</v>
      </c>
      <c r="B44" t="s">
        <v>164</v>
      </c>
      <c r="C44" s="136">
        <v>46039</v>
      </c>
      <c r="D44">
        <v>3849</v>
      </c>
      <c r="E44">
        <v>405</v>
      </c>
      <c r="F44">
        <v>267300</v>
      </c>
      <c r="G44">
        <v>49307</v>
      </c>
      <c r="H44">
        <v>32542620</v>
      </c>
      <c r="I44">
        <v>379514</v>
      </c>
      <c r="J44" s="97">
        <v>250479240</v>
      </c>
    </row>
    <row r="45" spans="1:10" x14ac:dyDescent="0.25">
      <c r="A45">
        <v>10</v>
      </c>
      <c r="B45" t="s">
        <v>164</v>
      </c>
      <c r="C45" s="136">
        <v>46043</v>
      </c>
      <c r="D45">
        <v>3850</v>
      </c>
      <c r="E45">
        <v>457</v>
      </c>
      <c r="F45">
        <v>301620</v>
      </c>
      <c r="G45">
        <v>42223</v>
      </c>
      <c r="H45">
        <v>27867180</v>
      </c>
      <c r="I45">
        <v>303381</v>
      </c>
      <c r="J45" s="97">
        <v>200231460</v>
      </c>
    </row>
    <row r="46" spans="1:10" x14ac:dyDescent="0.25">
      <c r="A46">
        <v>10</v>
      </c>
      <c r="B46" t="s">
        <v>164</v>
      </c>
      <c r="C46" s="136">
        <v>46046</v>
      </c>
      <c r="D46">
        <v>3851</v>
      </c>
      <c r="E46">
        <v>432</v>
      </c>
      <c r="F46">
        <v>285120</v>
      </c>
      <c r="G46">
        <v>49160</v>
      </c>
      <c r="H46">
        <v>32445600</v>
      </c>
      <c r="I46">
        <v>377066</v>
      </c>
      <c r="J46" s="97">
        <v>248863560</v>
      </c>
    </row>
    <row r="47" spans="1:10" x14ac:dyDescent="0.25">
      <c r="A47">
        <v>10</v>
      </c>
      <c r="B47" t="s">
        <v>164</v>
      </c>
      <c r="C47" s="136">
        <v>46050</v>
      </c>
      <c r="D47">
        <v>3852</v>
      </c>
      <c r="E47">
        <v>498</v>
      </c>
      <c r="F47">
        <v>328680</v>
      </c>
      <c r="G47">
        <v>41271</v>
      </c>
      <c r="H47">
        <v>27238860</v>
      </c>
      <c r="I47">
        <v>298628</v>
      </c>
      <c r="J47" s="97">
        <v>197094480</v>
      </c>
    </row>
    <row r="48" spans="1:10" x14ac:dyDescent="0.25">
      <c r="A48">
        <v>10</v>
      </c>
      <c r="B48" t="s">
        <v>164</v>
      </c>
      <c r="C48" s="136">
        <v>46053</v>
      </c>
      <c r="D48">
        <v>3853</v>
      </c>
      <c r="E48">
        <v>472</v>
      </c>
      <c r="F48">
        <v>311520</v>
      </c>
      <c r="G48">
        <v>51033</v>
      </c>
      <c r="H48">
        <v>33681780</v>
      </c>
      <c r="I48">
        <v>382643</v>
      </c>
      <c r="J48" s="97">
        <v>252544380</v>
      </c>
    </row>
    <row r="49" spans="1:10" x14ac:dyDescent="0.25">
      <c r="A49">
        <v>11</v>
      </c>
      <c r="B49" t="s">
        <v>165</v>
      </c>
      <c r="C49" s="136">
        <v>46025</v>
      </c>
      <c r="D49">
        <v>3845</v>
      </c>
      <c r="E49">
        <v>472</v>
      </c>
      <c r="F49">
        <v>306800</v>
      </c>
      <c r="G49">
        <v>48959</v>
      </c>
      <c r="H49">
        <v>31823350</v>
      </c>
      <c r="I49">
        <v>391490</v>
      </c>
      <c r="J49" s="97">
        <v>254468500</v>
      </c>
    </row>
    <row r="50" spans="1:10" x14ac:dyDescent="0.25">
      <c r="A50">
        <v>11</v>
      </c>
      <c r="B50" t="s">
        <v>165</v>
      </c>
      <c r="C50" s="136">
        <v>46029</v>
      </c>
      <c r="D50">
        <v>3846</v>
      </c>
      <c r="E50">
        <v>434</v>
      </c>
      <c r="F50">
        <v>338520</v>
      </c>
      <c r="G50">
        <v>43204</v>
      </c>
      <c r="H50">
        <v>33699120</v>
      </c>
      <c r="I50">
        <v>310594</v>
      </c>
      <c r="J50" s="97">
        <v>242263320</v>
      </c>
    </row>
    <row r="51" spans="1:10" ht="15" customHeight="1" x14ac:dyDescent="0.25">
      <c r="A51">
        <v>11</v>
      </c>
      <c r="B51" t="s">
        <v>165</v>
      </c>
      <c r="C51" s="136">
        <v>46032</v>
      </c>
      <c r="D51">
        <v>3847</v>
      </c>
      <c r="E51">
        <v>408</v>
      </c>
      <c r="F51">
        <v>318240</v>
      </c>
      <c r="G51">
        <v>51135</v>
      </c>
      <c r="H51">
        <v>39885300</v>
      </c>
      <c r="I51">
        <v>390040</v>
      </c>
      <c r="J51" s="97">
        <v>304231200</v>
      </c>
    </row>
    <row r="52" spans="1:10" x14ac:dyDescent="0.25">
      <c r="A52">
        <v>11</v>
      </c>
      <c r="B52" t="s">
        <v>165</v>
      </c>
      <c r="C52" s="136">
        <v>46036</v>
      </c>
      <c r="D52">
        <v>3848</v>
      </c>
      <c r="E52">
        <v>447</v>
      </c>
      <c r="F52">
        <v>348660</v>
      </c>
      <c r="G52">
        <v>41956</v>
      </c>
      <c r="H52">
        <v>32725680</v>
      </c>
      <c r="I52">
        <v>303011</v>
      </c>
      <c r="J52" s="97">
        <v>236348580</v>
      </c>
    </row>
    <row r="53" spans="1:10" x14ac:dyDescent="0.25">
      <c r="A53">
        <v>11</v>
      </c>
      <c r="B53" t="s">
        <v>165</v>
      </c>
      <c r="C53" s="136">
        <v>46039</v>
      </c>
      <c r="D53">
        <v>3849</v>
      </c>
      <c r="E53">
        <v>405</v>
      </c>
      <c r="F53">
        <v>315900</v>
      </c>
      <c r="G53">
        <v>49307</v>
      </c>
      <c r="H53">
        <v>38459460</v>
      </c>
      <c r="I53">
        <v>379514</v>
      </c>
      <c r="J53" s="97">
        <v>296020920</v>
      </c>
    </row>
    <row r="54" spans="1:10" x14ac:dyDescent="0.25">
      <c r="A54">
        <v>11</v>
      </c>
      <c r="B54" t="s">
        <v>165</v>
      </c>
      <c r="C54" s="136">
        <v>46043</v>
      </c>
      <c r="D54">
        <v>3850</v>
      </c>
      <c r="E54">
        <v>457</v>
      </c>
      <c r="F54">
        <v>356460</v>
      </c>
      <c r="G54">
        <v>42223</v>
      </c>
      <c r="H54">
        <v>32933940</v>
      </c>
      <c r="I54">
        <v>303381</v>
      </c>
      <c r="J54" s="97">
        <v>236637180</v>
      </c>
    </row>
    <row r="55" spans="1:10" x14ac:dyDescent="0.25">
      <c r="A55">
        <v>11</v>
      </c>
      <c r="B55" t="s">
        <v>165</v>
      </c>
      <c r="C55" s="136">
        <v>46046</v>
      </c>
      <c r="D55">
        <v>3851</v>
      </c>
      <c r="E55">
        <v>432</v>
      </c>
      <c r="F55">
        <v>336960</v>
      </c>
      <c r="G55">
        <v>49160</v>
      </c>
      <c r="H55">
        <v>38344800</v>
      </c>
      <c r="I55">
        <v>377066</v>
      </c>
      <c r="J55" s="97">
        <v>294111480</v>
      </c>
    </row>
    <row r="56" spans="1:10" x14ac:dyDescent="0.25">
      <c r="A56">
        <v>11</v>
      </c>
      <c r="B56" t="s">
        <v>165</v>
      </c>
      <c r="C56" s="136">
        <v>46050</v>
      </c>
      <c r="D56">
        <v>3852</v>
      </c>
      <c r="E56">
        <v>498</v>
      </c>
      <c r="F56">
        <v>388440</v>
      </c>
      <c r="G56">
        <v>41271</v>
      </c>
      <c r="H56">
        <v>32191380</v>
      </c>
      <c r="I56">
        <v>298628</v>
      </c>
      <c r="J56" s="97">
        <v>232929840</v>
      </c>
    </row>
    <row r="57" spans="1:10" x14ac:dyDescent="0.25">
      <c r="A57">
        <v>11</v>
      </c>
      <c r="B57" t="s">
        <v>165</v>
      </c>
      <c r="C57" s="136">
        <v>46053</v>
      </c>
      <c r="D57">
        <v>3853</v>
      </c>
      <c r="E57">
        <v>472</v>
      </c>
      <c r="F57">
        <v>368160</v>
      </c>
      <c r="G57">
        <v>51033</v>
      </c>
      <c r="H57">
        <v>39805740</v>
      </c>
      <c r="I57">
        <v>382643</v>
      </c>
      <c r="J57" s="97">
        <v>298461540</v>
      </c>
    </row>
    <row r="58" spans="1:10" x14ac:dyDescent="0.25">
      <c r="A58">
        <v>66</v>
      </c>
      <c r="B58" t="s">
        <v>163</v>
      </c>
      <c r="C58" s="136">
        <v>46026</v>
      </c>
      <c r="D58">
        <v>3336</v>
      </c>
      <c r="E58">
        <v>0</v>
      </c>
      <c r="F58">
        <v>0</v>
      </c>
      <c r="G58">
        <v>85949</v>
      </c>
      <c r="H58">
        <v>64461750</v>
      </c>
      <c r="I58">
        <v>85949</v>
      </c>
      <c r="J58" s="97">
        <v>64461750</v>
      </c>
    </row>
    <row r="59" spans="1:10" x14ac:dyDescent="0.25">
      <c r="A59">
        <v>66</v>
      </c>
      <c r="B59" t="s">
        <v>163</v>
      </c>
      <c r="C59" s="136">
        <v>46029</v>
      </c>
      <c r="D59">
        <v>3337</v>
      </c>
      <c r="E59">
        <v>0</v>
      </c>
      <c r="F59">
        <v>0</v>
      </c>
      <c r="G59">
        <v>80727</v>
      </c>
      <c r="H59">
        <v>60545250</v>
      </c>
      <c r="I59">
        <v>80727</v>
      </c>
      <c r="J59" s="97">
        <v>60545250</v>
      </c>
    </row>
    <row r="60" spans="1:10" x14ac:dyDescent="0.25">
      <c r="A60">
        <v>66</v>
      </c>
      <c r="B60" t="s">
        <v>163</v>
      </c>
      <c r="C60" s="136">
        <v>46033</v>
      </c>
      <c r="D60">
        <v>3338</v>
      </c>
      <c r="E60">
        <v>0</v>
      </c>
      <c r="F60">
        <v>0</v>
      </c>
      <c r="G60">
        <v>96093</v>
      </c>
      <c r="H60">
        <v>72069750</v>
      </c>
      <c r="I60">
        <v>96093</v>
      </c>
      <c r="J60" s="97">
        <v>72069750</v>
      </c>
    </row>
    <row r="61" spans="1:10" x14ac:dyDescent="0.25">
      <c r="A61">
        <v>66</v>
      </c>
      <c r="B61" t="s">
        <v>163</v>
      </c>
      <c r="C61" s="136">
        <v>46036</v>
      </c>
      <c r="D61">
        <v>3339</v>
      </c>
      <c r="E61">
        <v>0</v>
      </c>
      <c r="F61">
        <v>0</v>
      </c>
      <c r="G61">
        <v>77487</v>
      </c>
      <c r="H61">
        <v>58115250</v>
      </c>
      <c r="I61">
        <v>77487</v>
      </c>
      <c r="J61" s="97">
        <v>58115250</v>
      </c>
    </row>
    <row r="62" spans="1:10" x14ac:dyDescent="0.25">
      <c r="A62">
        <v>66</v>
      </c>
      <c r="B62" t="s">
        <v>163</v>
      </c>
      <c r="C62" s="136">
        <v>46040</v>
      </c>
      <c r="D62">
        <v>3340</v>
      </c>
      <c r="E62">
        <v>0</v>
      </c>
      <c r="F62">
        <v>0</v>
      </c>
      <c r="G62">
        <v>93810</v>
      </c>
      <c r="H62">
        <v>70357500</v>
      </c>
      <c r="I62">
        <v>93810</v>
      </c>
      <c r="J62" s="97">
        <v>70357500</v>
      </c>
    </row>
    <row r="63" spans="1:10" x14ac:dyDescent="0.25">
      <c r="A63">
        <v>66</v>
      </c>
      <c r="B63" t="s">
        <v>163</v>
      </c>
      <c r="C63" s="136">
        <v>46043</v>
      </c>
      <c r="D63">
        <v>3341</v>
      </c>
      <c r="E63">
        <v>0</v>
      </c>
      <c r="F63">
        <v>0</v>
      </c>
      <c r="G63">
        <v>78439</v>
      </c>
      <c r="H63">
        <v>58829250</v>
      </c>
      <c r="I63">
        <v>78439</v>
      </c>
      <c r="J63" s="97">
        <v>58829250</v>
      </c>
    </row>
    <row r="64" spans="1:10" x14ac:dyDescent="0.25">
      <c r="A64">
        <v>66</v>
      </c>
      <c r="B64" t="s">
        <v>163</v>
      </c>
      <c r="C64" s="136">
        <v>46047</v>
      </c>
      <c r="D64">
        <v>3342</v>
      </c>
      <c r="E64">
        <v>0</v>
      </c>
      <c r="F64">
        <v>0</v>
      </c>
      <c r="G64">
        <v>94333</v>
      </c>
      <c r="H64">
        <v>70749750</v>
      </c>
      <c r="I64">
        <v>94333</v>
      </c>
      <c r="J64" s="97">
        <v>70749750</v>
      </c>
    </row>
    <row r="65" spans="1:10" x14ac:dyDescent="0.25">
      <c r="A65">
        <v>66</v>
      </c>
      <c r="B65" t="s">
        <v>163</v>
      </c>
      <c r="C65" s="136">
        <v>46050</v>
      </c>
      <c r="D65">
        <v>3343</v>
      </c>
      <c r="E65">
        <v>0</v>
      </c>
      <c r="F65">
        <v>0</v>
      </c>
      <c r="G65">
        <v>77312</v>
      </c>
      <c r="H65">
        <v>57984000</v>
      </c>
      <c r="I65">
        <v>77312</v>
      </c>
      <c r="J65" s="97">
        <v>57984000</v>
      </c>
    </row>
    <row r="66" spans="1:10" x14ac:dyDescent="0.25">
      <c r="A66">
        <v>67</v>
      </c>
      <c r="B66" t="s">
        <v>160</v>
      </c>
      <c r="C66" s="136">
        <v>46026</v>
      </c>
      <c r="D66">
        <v>3336</v>
      </c>
      <c r="E66">
        <v>0</v>
      </c>
      <c r="F66">
        <v>0</v>
      </c>
      <c r="G66">
        <v>85397</v>
      </c>
      <c r="H66">
        <v>64047750</v>
      </c>
      <c r="I66">
        <v>85397</v>
      </c>
      <c r="J66" s="97">
        <v>64047750</v>
      </c>
    </row>
    <row r="67" spans="1:10" x14ac:dyDescent="0.25">
      <c r="A67">
        <v>67</v>
      </c>
      <c r="B67" t="s">
        <v>160</v>
      </c>
      <c r="C67" s="136">
        <v>46029</v>
      </c>
      <c r="D67">
        <v>3337</v>
      </c>
      <c r="E67">
        <v>0</v>
      </c>
      <c r="F67">
        <v>0</v>
      </c>
      <c r="G67">
        <v>80242</v>
      </c>
      <c r="H67">
        <v>60181500</v>
      </c>
      <c r="I67">
        <v>80242</v>
      </c>
      <c r="J67" s="97">
        <v>60181500</v>
      </c>
    </row>
    <row r="68" spans="1:10" x14ac:dyDescent="0.25">
      <c r="A68">
        <v>67</v>
      </c>
      <c r="B68" t="s">
        <v>160</v>
      </c>
      <c r="C68" s="136">
        <v>46033</v>
      </c>
      <c r="D68">
        <v>3338</v>
      </c>
      <c r="E68">
        <v>0</v>
      </c>
      <c r="F68">
        <v>0</v>
      </c>
      <c r="G68">
        <v>95497</v>
      </c>
      <c r="H68">
        <v>71622750</v>
      </c>
      <c r="I68">
        <v>95497</v>
      </c>
      <c r="J68" s="97">
        <v>71622750</v>
      </c>
    </row>
    <row r="69" spans="1:10" x14ac:dyDescent="0.25">
      <c r="A69">
        <v>67</v>
      </c>
      <c r="B69" t="s">
        <v>160</v>
      </c>
      <c r="C69" s="136">
        <v>46036</v>
      </c>
      <c r="D69">
        <v>3339</v>
      </c>
      <c r="E69">
        <v>0</v>
      </c>
      <c r="F69">
        <v>0</v>
      </c>
      <c r="G69">
        <v>77089</v>
      </c>
      <c r="H69">
        <v>57816750</v>
      </c>
      <c r="I69">
        <v>77089</v>
      </c>
      <c r="J69" s="97">
        <v>57816750</v>
      </c>
    </row>
    <row r="70" spans="1:10" x14ac:dyDescent="0.25">
      <c r="A70">
        <v>67</v>
      </c>
      <c r="B70" t="s">
        <v>160</v>
      </c>
      <c r="C70" s="136">
        <v>46040</v>
      </c>
      <c r="D70">
        <v>3340</v>
      </c>
      <c r="E70">
        <v>0</v>
      </c>
      <c r="F70">
        <v>0</v>
      </c>
      <c r="G70">
        <v>93205</v>
      </c>
      <c r="H70">
        <v>69903750</v>
      </c>
      <c r="I70">
        <v>93205</v>
      </c>
      <c r="J70" s="97">
        <v>69903750</v>
      </c>
    </row>
    <row r="71" spans="1:10" x14ac:dyDescent="0.25">
      <c r="A71">
        <v>67</v>
      </c>
      <c r="B71" t="s">
        <v>160</v>
      </c>
      <c r="C71" s="136">
        <v>46043</v>
      </c>
      <c r="D71">
        <v>3341</v>
      </c>
      <c r="E71">
        <v>0</v>
      </c>
      <c r="F71">
        <v>0</v>
      </c>
      <c r="G71">
        <v>78014</v>
      </c>
      <c r="H71">
        <v>58510500</v>
      </c>
      <c r="I71">
        <v>78014</v>
      </c>
      <c r="J71" s="97">
        <v>58510500</v>
      </c>
    </row>
    <row r="72" spans="1:10" x14ac:dyDescent="0.25">
      <c r="A72">
        <v>67</v>
      </c>
      <c r="B72" t="s">
        <v>160</v>
      </c>
      <c r="C72" s="136">
        <v>46047</v>
      </c>
      <c r="D72">
        <v>3342</v>
      </c>
      <c r="E72">
        <v>0</v>
      </c>
      <c r="F72">
        <v>0</v>
      </c>
      <c r="G72">
        <v>93772</v>
      </c>
      <c r="H72">
        <v>70329000</v>
      </c>
      <c r="I72">
        <v>93772</v>
      </c>
      <c r="J72" s="97">
        <v>70329000</v>
      </c>
    </row>
    <row r="73" spans="1:10" x14ac:dyDescent="0.25">
      <c r="A73">
        <v>67</v>
      </c>
      <c r="B73" t="s">
        <v>160</v>
      </c>
      <c r="C73" s="136">
        <v>46050</v>
      </c>
      <c r="D73">
        <v>3343</v>
      </c>
      <c r="E73">
        <v>0</v>
      </c>
      <c r="F73">
        <v>0</v>
      </c>
      <c r="G73">
        <v>76851</v>
      </c>
      <c r="H73">
        <v>57638250</v>
      </c>
      <c r="I73">
        <v>76851</v>
      </c>
      <c r="J73" s="97">
        <v>57638250</v>
      </c>
    </row>
    <row r="74" spans="1:10" x14ac:dyDescent="0.25">
      <c r="A74">
        <v>68</v>
      </c>
      <c r="B74" t="s">
        <v>159</v>
      </c>
      <c r="C74" s="136">
        <v>46026</v>
      </c>
      <c r="D74">
        <v>3336</v>
      </c>
      <c r="E74">
        <v>0</v>
      </c>
      <c r="F74">
        <v>0</v>
      </c>
      <c r="G74">
        <v>85797</v>
      </c>
      <c r="H74">
        <v>64347750</v>
      </c>
      <c r="I74">
        <v>85797</v>
      </c>
      <c r="J74" s="97">
        <v>64347750</v>
      </c>
    </row>
    <row r="75" spans="1:10" x14ac:dyDescent="0.25">
      <c r="A75">
        <v>68</v>
      </c>
      <c r="B75" t="s">
        <v>159</v>
      </c>
      <c r="C75" s="136">
        <v>46029</v>
      </c>
      <c r="D75">
        <v>3337</v>
      </c>
      <c r="E75">
        <v>0</v>
      </c>
      <c r="F75">
        <v>0</v>
      </c>
      <c r="G75">
        <v>80596</v>
      </c>
      <c r="H75">
        <v>60447000</v>
      </c>
      <c r="I75">
        <v>80596</v>
      </c>
      <c r="J75" s="97">
        <v>60447000</v>
      </c>
    </row>
    <row r="76" spans="1:10" x14ac:dyDescent="0.25">
      <c r="A76">
        <v>68</v>
      </c>
      <c r="B76" t="s">
        <v>159</v>
      </c>
      <c r="C76" s="136">
        <v>46033</v>
      </c>
      <c r="D76">
        <v>3338</v>
      </c>
      <c r="E76">
        <v>0</v>
      </c>
      <c r="F76">
        <v>0</v>
      </c>
      <c r="G76">
        <v>95921</v>
      </c>
      <c r="H76">
        <v>71940750</v>
      </c>
      <c r="I76">
        <v>95921</v>
      </c>
      <c r="J76" s="97">
        <v>71940750</v>
      </c>
    </row>
    <row r="77" spans="1:10" x14ac:dyDescent="0.25">
      <c r="A77">
        <v>68</v>
      </c>
      <c r="B77" t="s">
        <v>159</v>
      </c>
      <c r="C77" s="136">
        <v>46036</v>
      </c>
      <c r="D77">
        <v>3339</v>
      </c>
      <c r="E77">
        <v>0</v>
      </c>
      <c r="F77">
        <v>0</v>
      </c>
      <c r="G77">
        <v>77396</v>
      </c>
      <c r="H77">
        <v>58047000</v>
      </c>
      <c r="I77">
        <v>77396</v>
      </c>
      <c r="J77" s="97">
        <v>58047000</v>
      </c>
    </row>
    <row r="78" spans="1:10" x14ac:dyDescent="0.25">
      <c r="A78">
        <v>68</v>
      </c>
      <c r="B78" t="s">
        <v>159</v>
      </c>
      <c r="C78" s="136">
        <v>46040</v>
      </c>
      <c r="D78">
        <v>3340</v>
      </c>
      <c r="E78">
        <v>0</v>
      </c>
      <c r="F78">
        <v>0</v>
      </c>
      <c r="G78">
        <v>93647</v>
      </c>
      <c r="H78">
        <v>70235250</v>
      </c>
      <c r="I78">
        <v>93647</v>
      </c>
      <c r="J78" s="97">
        <v>70235250</v>
      </c>
    </row>
    <row r="79" spans="1:10" x14ac:dyDescent="0.25">
      <c r="A79">
        <v>68</v>
      </c>
      <c r="B79" t="s">
        <v>159</v>
      </c>
      <c r="C79" s="136">
        <v>46043</v>
      </c>
      <c r="D79">
        <v>3341</v>
      </c>
      <c r="E79">
        <v>0</v>
      </c>
      <c r="F79">
        <v>0</v>
      </c>
      <c r="G79">
        <v>78313</v>
      </c>
      <c r="H79">
        <v>58734750</v>
      </c>
      <c r="I79">
        <v>78313</v>
      </c>
      <c r="J79" s="97">
        <v>58734750</v>
      </c>
    </row>
    <row r="80" spans="1:10" x14ac:dyDescent="0.25">
      <c r="A80">
        <v>68</v>
      </c>
      <c r="B80" t="s">
        <v>159</v>
      </c>
      <c r="C80" s="136">
        <v>46047</v>
      </c>
      <c r="D80">
        <v>3342</v>
      </c>
      <c r="E80">
        <v>0</v>
      </c>
      <c r="F80">
        <v>0</v>
      </c>
      <c r="G80">
        <v>94216</v>
      </c>
      <c r="H80">
        <v>70662000</v>
      </c>
      <c r="I80">
        <v>94216</v>
      </c>
      <c r="J80" s="97">
        <v>70662000</v>
      </c>
    </row>
    <row r="81" spans="1:10" x14ac:dyDescent="0.25">
      <c r="A81">
        <v>68</v>
      </c>
      <c r="B81" t="s">
        <v>159</v>
      </c>
      <c r="C81" s="136">
        <v>46050</v>
      </c>
      <c r="D81">
        <v>3343</v>
      </c>
      <c r="E81">
        <v>0</v>
      </c>
      <c r="F81">
        <v>0</v>
      </c>
      <c r="G81">
        <v>77215</v>
      </c>
      <c r="H81">
        <v>57911250</v>
      </c>
      <c r="I81">
        <v>77215</v>
      </c>
      <c r="J81" s="97">
        <v>57911250</v>
      </c>
    </row>
    <row r="82" spans="1:10" x14ac:dyDescent="0.25">
      <c r="A82">
        <v>69</v>
      </c>
      <c r="B82" t="s">
        <v>158</v>
      </c>
      <c r="C82" s="136">
        <v>46026</v>
      </c>
      <c r="D82">
        <v>3336</v>
      </c>
      <c r="E82">
        <v>0</v>
      </c>
      <c r="F82">
        <v>0</v>
      </c>
      <c r="G82">
        <v>85949</v>
      </c>
      <c r="H82">
        <v>64461750</v>
      </c>
      <c r="I82">
        <v>85949</v>
      </c>
      <c r="J82" s="97">
        <v>64461750</v>
      </c>
    </row>
    <row r="83" spans="1:10" x14ac:dyDescent="0.25">
      <c r="A83">
        <v>69</v>
      </c>
      <c r="B83" t="s">
        <v>158</v>
      </c>
      <c r="C83" s="136">
        <v>46029</v>
      </c>
      <c r="D83">
        <v>3337</v>
      </c>
      <c r="E83">
        <v>0</v>
      </c>
      <c r="F83">
        <v>0</v>
      </c>
      <c r="G83">
        <v>80727</v>
      </c>
      <c r="H83">
        <v>60545250</v>
      </c>
      <c r="I83">
        <v>80727</v>
      </c>
      <c r="J83" s="97">
        <v>60545250</v>
      </c>
    </row>
    <row r="84" spans="1:10" x14ac:dyDescent="0.25">
      <c r="A84">
        <v>69</v>
      </c>
      <c r="B84" t="s">
        <v>158</v>
      </c>
      <c r="C84" s="136">
        <v>46033</v>
      </c>
      <c r="D84">
        <v>3338</v>
      </c>
      <c r="E84">
        <v>0</v>
      </c>
      <c r="F84">
        <v>0</v>
      </c>
      <c r="G84">
        <v>96093</v>
      </c>
      <c r="H84">
        <v>72069750</v>
      </c>
      <c r="I84">
        <v>96093</v>
      </c>
      <c r="J84" s="97">
        <v>72069750</v>
      </c>
    </row>
    <row r="85" spans="1:10" x14ac:dyDescent="0.25">
      <c r="A85">
        <v>69</v>
      </c>
      <c r="B85" t="s">
        <v>158</v>
      </c>
      <c r="C85" s="136">
        <v>46036</v>
      </c>
      <c r="D85">
        <v>3339</v>
      </c>
      <c r="E85">
        <v>0</v>
      </c>
      <c r="F85">
        <v>0</v>
      </c>
      <c r="G85">
        <v>77487</v>
      </c>
      <c r="H85">
        <v>58115250</v>
      </c>
      <c r="I85">
        <v>77487</v>
      </c>
      <c r="J85" s="97">
        <v>58115250</v>
      </c>
    </row>
    <row r="86" spans="1:10" x14ac:dyDescent="0.25">
      <c r="A86">
        <v>69</v>
      </c>
      <c r="B86" t="s">
        <v>158</v>
      </c>
      <c r="C86" s="136">
        <v>46040</v>
      </c>
      <c r="D86">
        <v>3340</v>
      </c>
      <c r="E86">
        <v>0</v>
      </c>
      <c r="F86">
        <v>0</v>
      </c>
      <c r="G86">
        <v>93810</v>
      </c>
      <c r="H86">
        <v>70357500</v>
      </c>
      <c r="I86">
        <v>93810</v>
      </c>
      <c r="J86" s="97">
        <v>70357500</v>
      </c>
    </row>
    <row r="87" spans="1:10" x14ac:dyDescent="0.25">
      <c r="A87">
        <v>69</v>
      </c>
      <c r="B87" t="s">
        <v>158</v>
      </c>
      <c r="C87" s="136">
        <v>46043</v>
      </c>
      <c r="D87">
        <v>3341</v>
      </c>
      <c r="E87">
        <v>0</v>
      </c>
      <c r="F87">
        <v>0</v>
      </c>
      <c r="G87">
        <v>78439</v>
      </c>
      <c r="H87">
        <v>58829250</v>
      </c>
      <c r="I87">
        <v>78439</v>
      </c>
      <c r="J87" s="97">
        <v>58829250</v>
      </c>
    </row>
    <row r="88" spans="1:10" x14ac:dyDescent="0.25">
      <c r="A88">
        <v>69</v>
      </c>
      <c r="B88" t="s">
        <v>158</v>
      </c>
      <c r="C88" s="136">
        <v>46047</v>
      </c>
      <c r="D88">
        <v>3342</v>
      </c>
      <c r="E88">
        <v>0</v>
      </c>
      <c r="F88">
        <v>0</v>
      </c>
      <c r="G88">
        <v>94333</v>
      </c>
      <c r="H88">
        <v>70749750</v>
      </c>
      <c r="I88">
        <v>94333</v>
      </c>
      <c r="J88" s="97">
        <v>70749750</v>
      </c>
    </row>
    <row r="89" spans="1:10" x14ac:dyDescent="0.25">
      <c r="A89">
        <v>69</v>
      </c>
      <c r="B89" t="s">
        <v>158</v>
      </c>
      <c r="C89" s="136">
        <v>46050</v>
      </c>
      <c r="D89">
        <v>3343</v>
      </c>
      <c r="E89">
        <v>0</v>
      </c>
      <c r="F89">
        <v>0</v>
      </c>
      <c r="G89">
        <v>77312</v>
      </c>
      <c r="H89">
        <v>57984000</v>
      </c>
      <c r="I89">
        <v>77312</v>
      </c>
      <c r="J89" s="97">
        <v>57984000</v>
      </c>
    </row>
    <row r="90" spans="1:10" x14ac:dyDescent="0.25">
      <c r="A90">
        <v>80</v>
      </c>
      <c r="B90" t="s">
        <v>50</v>
      </c>
      <c r="C90" s="136">
        <v>46024</v>
      </c>
      <c r="D90">
        <v>51847</v>
      </c>
      <c r="E90">
        <v>44</v>
      </c>
      <c r="F90">
        <v>17100</v>
      </c>
      <c r="G90">
        <v>351960</v>
      </c>
      <c r="H90">
        <v>84270417</v>
      </c>
      <c r="I90">
        <v>352004</v>
      </c>
      <c r="J90" s="97">
        <v>84287517</v>
      </c>
    </row>
    <row r="91" spans="1:10" x14ac:dyDescent="0.25">
      <c r="A91">
        <v>80</v>
      </c>
      <c r="B91" t="s">
        <v>50</v>
      </c>
      <c r="C91" s="136">
        <v>46024</v>
      </c>
      <c r="D91">
        <v>51848</v>
      </c>
      <c r="E91">
        <v>73</v>
      </c>
      <c r="F91">
        <v>48000</v>
      </c>
      <c r="G91">
        <v>419672</v>
      </c>
      <c r="H91">
        <v>98033795</v>
      </c>
      <c r="I91">
        <v>419745</v>
      </c>
      <c r="J91" s="97">
        <v>98081795</v>
      </c>
    </row>
    <row r="92" spans="1:10" x14ac:dyDescent="0.25">
      <c r="A92">
        <v>80</v>
      </c>
      <c r="B92" t="s">
        <v>50</v>
      </c>
      <c r="C92" s="136">
        <v>46024</v>
      </c>
      <c r="D92">
        <v>51849</v>
      </c>
      <c r="E92">
        <v>84</v>
      </c>
      <c r="F92">
        <v>18700</v>
      </c>
      <c r="G92">
        <v>562671</v>
      </c>
      <c r="H92">
        <v>136539845</v>
      </c>
      <c r="I92">
        <v>562755</v>
      </c>
      <c r="J92" s="97">
        <v>136558545</v>
      </c>
    </row>
    <row r="93" spans="1:10" x14ac:dyDescent="0.25">
      <c r="A93">
        <v>80</v>
      </c>
      <c r="B93" t="s">
        <v>50</v>
      </c>
      <c r="C93" s="136">
        <v>46024</v>
      </c>
      <c r="D93">
        <v>51850</v>
      </c>
      <c r="E93">
        <v>46</v>
      </c>
      <c r="F93">
        <v>28479</v>
      </c>
      <c r="G93">
        <v>464445</v>
      </c>
      <c r="H93">
        <v>117217833</v>
      </c>
      <c r="I93">
        <v>464491</v>
      </c>
      <c r="J93" s="97">
        <v>117246312</v>
      </c>
    </row>
    <row r="94" spans="1:10" x14ac:dyDescent="0.25">
      <c r="A94">
        <v>80</v>
      </c>
      <c r="B94" t="s">
        <v>50</v>
      </c>
      <c r="C94" s="136">
        <v>46024</v>
      </c>
      <c r="D94">
        <v>51851</v>
      </c>
      <c r="E94">
        <v>179</v>
      </c>
      <c r="F94">
        <v>80508</v>
      </c>
      <c r="G94">
        <v>813911</v>
      </c>
      <c r="H94">
        <v>224949429</v>
      </c>
      <c r="I94">
        <v>814090</v>
      </c>
      <c r="J94" s="97">
        <v>225029937</v>
      </c>
    </row>
    <row r="95" spans="1:10" x14ac:dyDescent="0.25">
      <c r="A95">
        <v>80</v>
      </c>
      <c r="B95" t="s">
        <v>50</v>
      </c>
      <c r="C95" s="136">
        <v>46025</v>
      </c>
      <c r="D95">
        <v>51852</v>
      </c>
      <c r="E95">
        <v>146</v>
      </c>
      <c r="F95">
        <v>44800</v>
      </c>
      <c r="G95">
        <v>321066</v>
      </c>
      <c r="H95">
        <v>77010755</v>
      </c>
      <c r="I95">
        <v>321212</v>
      </c>
      <c r="J95" s="97">
        <v>77055555</v>
      </c>
    </row>
    <row r="96" spans="1:10" x14ac:dyDescent="0.25">
      <c r="A96">
        <v>80</v>
      </c>
      <c r="B96" t="s">
        <v>50</v>
      </c>
      <c r="C96" s="136">
        <v>46025</v>
      </c>
      <c r="D96">
        <v>51853</v>
      </c>
      <c r="E96">
        <v>134</v>
      </c>
      <c r="F96">
        <v>43704</v>
      </c>
      <c r="G96">
        <v>425435</v>
      </c>
      <c r="H96">
        <v>100310699</v>
      </c>
      <c r="I96">
        <v>425569</v>
      </c>
      <c r="J96" s="97">
        <v>100354403</v>
      </c>
    </row>
    <row r="97" spans="1:10" x14ac:dyDescent="0.25">
      <c r="A97">
        <v>80</v>
      </c>
      <c r="B97" t="s">
        <v>50</v>
      </c>
      <c r="C97" s="136">
        <v>46025</v>
      </c>
      <c r="D97">
        <v>51854</v>
      </c>
      <c r="E97">
        <v>93</v>
      </c>
      <c r="F97">
        <v>32322</v>
      </c>
      <c r="G97">
        <v>491305</v>
      </c>
      <c r="H97">
        <v>116956997</v>
      </c>
      <c r="I97">
        <v>491398</v>
      </c>
      <c r="J97" s="97">
        <v>116989319</v>
      </c>
    </row>
    <row r="98" spans="1:10" x14ac:dyDescent="0.25">
      <c r="A98">
        <v>80</v>
      </c>
      <c r="B98" t="s">
        <v>50</v>
      </c>
      <c r="C98" s="136">
        <v>46025</v>
      </c>
      <c r="D98">
        <v>51855</v>
      </c>
      <c r="E98">
        <v>181</v>
      </c>
      <c r="F98">
        <v>40417</v>
      </c>
      <c r="G98">
        <v>466682</v>
      </c>
      <c r="H98">
        <v>110907298</v>
      </c>
      <c r="I98">
        <v>466863</v>
      </c>
      <c r="J98" s="97">
        <v>110947715</v>
      </c>
    </row>
    <row r="99" spans="1:10" x14ac:dyDescent="0.25">
      <c r="A99">
        <v>80</v>
      </c>
      <c r="B99" t="s">
        <v>50</v>
      </c>
      <c r="C99" s="136">
        <v>46025</v>
      </c>
      <c r="D99">
        <v>51856</v>
      </c>
      <c r="E99">
        <v>283</v>
      </c>
      <c r="F99">
        <v>166399</v>
      </c>
      <c r="G99">
        <v>847316</v>
      </c>
      <c r="H99">
        <v>236876684</v>
      </c>
      <c r="I99">
        <v>847599</v>
      </c>
      <c r="J99" s="97">
        <v>237043083</v>
      </c>
    </row>
    <row r="100" spans="1:10" x14ac:dyDescent="0.25">
      <c r="A100">
        <v>80</v>
      </c>
      <c r="B100" t="s">
        <v>50</v>
      </c>
      <c r="C100" s="136">
        <v>46027</v>
      </c>
      <c r="D100">
        <v>51857</v>
      </c>
      <c r="E100">
        <v>107</v>
      </c>
      <c r="F100">
        <v>69100</v>
      </c>
      <c r="G100">
        <v>363481</v>
      </c>
      <c r="H100">
        <v>86586672</v>
      </c>
      <c r="I100">
        <v>363588</v>
      </c>
      <c r="J100" s="97">
        <v>86655772</v>
      </c>
    </row>
    <row r="101" spans="1:10" x14ac:dyDescent="0.25">
      <c r="A101">
        <v>80</v>
      </c>
      <c r="B101" t="s">
        <v>50</v>
      </c>
      <c r="C101" s="136">
        <v>46027</v>
      </c>
      <c r="D101">
        <v>51858</v>
      </c>
      <c r="E101">
        <v>28</v>
      </c>
      <c r="F101">
        <v>12800</v>
      </c>
      <c r="G101">
        <v>429409</v>
      </c>
      <c r="H101">
        <v>100693788</v>
      </c>
      <c r="I101">
        <v>429437</v>
      </c>
      <c r="J101" s="97">
        <v>100706588</v>
      </c>
    </row>
    <row r="102" spans="1:10" x14ac:dyDescent="0.25">
      <c r="A102">
        <v>80</v>
      </c>
      <c r="B102" t="s">
        <v>50</v>
      </c>
      <c r="C102" s="136">
        <v>46027</v>
      </c>
      <c r="D102">
        <v>51859</v>
      </c>
      <c r="E102">
        <v>97</v>
      </c>
      <c r="F102">
        <v>26450</v>
      </c>
      <c r="G102">
        <v>546561</v>
      </c>
      <c r="H102">
        <v>131795878</v>
      </c>
      <c r="I102">
        <v>546658</v>
      </c>
      <c r="J102" s="97">
        <v>131822328</v>
      </c>
    </row>
    <row r="103" spans="1:10" x14ac:dyDescent="0.25">
      <c r="A103">
        <v>80</v>
      </c>
      <c r="B103" t="s">
        <v>50</v>
      </c>
      <c r="C103" s="136">
        <v>46027</v>
      </c>
      <c r="D103">
        <v>51860</v>
      </c>
      <c r="E103">
        <v>118</v>
      </c>
      <c r="F103">
        <v>61136</v>
      </c>
      <c r="G103">
        <v>445260</v>
      </c>
      <c r="H103">
        <v>109054002</v>
      </c>
      <c r="I103">
        <v>445378</v>
      </c>
      <c r="J103" s="97">
        <v>109115138</v>
      </c>
    </row>
    <row r="104" spans="1:10" x14ac:dyDescent="0.25">
      <c r="A104">
        <v>80</v>
      </c>
      <c r="B104" t="s">
        <v>50</v>
      </c>
      <c r="C104" s="136">
        <v>46027</v>
      </c>
      <c r="D104">
        <v>51861</v>
      </c>
      <c r="E104">
        <v>260</v>
      </c>
      <c r="F104">
        <v>152433</v>
      </c>
      <c r="G104">
        <v>730108</v>
      </c>
      <c r="H104">
        <v>210367779</v>
      </c>
      <c r="I104">
        <v>730368</v>
      </c>
      <c r="J104" s="97">
        <v>210520212</v>
      </c>
    </row>
    <row r="105" spans="1:10" x14ac:dyDescent="0.25">
      <c r="A105">
        <v>80</v>
      </c>
      <c r="B105" t="s">
        <v>50</v>
      </c>
      <c r="C105" s="136">
        <v>46028</v>
      </c>
      <c r="D105">
        <v>51862</v>
      </c>
      <c r="E105">
        <v>26</v>
      </c>
      <c r="F105">
        <v>14250</v>
      </c>
      <c r="G105">
        <v>383668</v>
      </c>
      <c r="H105">
        <v>90564471</v>
      </c>
      <c r="I105">
        <v>383694</v>
      </c>
      <c r="J105" s="97">
        <v>90578721</v>
      </c>
    </row>
    <row r="106" spans="1:10" x14ac:dyDescent="0.25">
      <c r="A106">
        <v>80</v>
      </c>
      <c r="B106" t="s">
        <v>50</v>
      </c>
      <c r="C106" s="136">
        <v>46028</v>
      </c>
      <c r="D106">
        <v>51863</v>
      </c>
      <c r="E106">
        <v>47</v>
      </c>
      <c r="F106">
        <v>12231</v>
      </c>
      <c r="G106">
        <v>453896</v>
      </c>
      <c r="H106">
        <v>107210268</v>
      </c>
      <c r="I106">
        <v>453943</v>
      </c>
      <c r="J106" s="97">
        <v>107222499</v>
      </c>
    </row>
    <row r="107" spans="1:10" x14ac:dyDescent="0.25">
      <c r="A107">
        <v>80</v>
      </c>
      <c r="B107" t="s">
        <v>50</v>
      </c>
      <c r="C107" s="136">
        <v>46028</v>
      </c>
      <c r="D107">
        <v>51864</v>
      </c>
      <c r="E107">
        <v>82</v>
      </c>
      <c r="F107">
        <v>16906</v>
      </c>
      <c r="G107">
        <v>507133</v>
      </c>
      <c r="H107">
        <v>122292063</v>
      </c>
      <c r="I107">
        <v>507215</v>
      </c>
      <c r="J107" s="97">
        <v>122308969</v>
      </c>
    </row>
    <row r="108" spans="1:10" x14ac:dyDescent="0.25">
      <c r="A108">
        <v>80</v>
      </c>
      <c r="B108" t="s">
        <v>50</v>
      </c>
      <c r="C108" s="136">
        <v>46028</v>
      </c>
      <c r="D108">
        <v>51865</v>
      </c>
      <c r="E108">
        <v>148</v>
      </c>
      <c r="F108">
        <v>33903</v>
      </c>
      <c r="G108">
        <v>493490</v>
      </c>
      <c r="H108">
        <v>120218601</v>
      </c>
      <c r="I108">
        <v>493638</v>
      </c>
      <c r="J108" s="97">
        <v>120252504</v>
      </c>
    </row>
    <row r="109" spans="1:10" x14ac:dyDescent="0.25">
      <c r="A109">
        <v>80</v>
      </c>
      <c r="B109" t="s">
        <v>50</v>
      </c>
      <c r="C109" s="136">
        <v>46028</v>
      </c>
      <c r="D109">
        <v>51866</v>
      </c>
      <c r="E109">
        <v>375</v>
      </c>
      <c r="F109">
        <v>158908</v>
      </c>
      <c r="G109">
        <v>681034</v>
      </c>
      <c r="H109">
        <v>196736210</v>
      </c>
      <c r="I109">
        <v>681409</v>
      </c>
      <c r="J109" s="97">
        <v>196895118</v>
      </c>
    </row>
    <row r="110" spans="1:10" x14ac:dyDescent="0.25">
      <c r="A110">
        <v>80</v>
      </c>
      <c r="B110" t="s">
        <v>50</v>
      </c>
      <c r="C110" s="136">
        <v>46029</v>
      </c>
      <c r="D110">
        <v>51867</v>
      </c>
      <c r="E110">
        <v>86</v>
      </c>
      <c r="F110">
        <v>30300</v>
      </c>
      <c r="G110">
        <v>371238</v>
      </c>
      <c r="H110">
        <v>88214807</v>
      </c>
      <c r="I110">
        <v>371324</v>
      </c>
      <c r="J110" s="97">
        <v>88245107</v>
      </c>
    </row>
    <row r="111" spans="1:10" x14ac:dyDescent="0.25">
      <c r="A111">
        <v>80</v>
      </c>
      <c r="B111" t="s">
        <v>50</v>
      </c>
      <c r="C111" s="136">
        <v>46029</v>
      </c>
      <c r="D111">
        <v>51868</v>
      </c>
      <c r="E111">
        <v>117</v>
      </c>
      <c r="F111">
        <v>59500</v>
      </c>
      <c r="G111">
        <v>429580</v>
      </c>
      <c r="H111">
        <v>102275496</v>
      </c>
      <c r="I111">
        <v>429697</v>
      </c>
      <c r="J111" s="97">
        <v>102334996</v>
      </c>
    </row>
    <row r="112" spans="1:10" x14ac:dyDescent="0.25">
      <c r="A112">
        <v>80</v>
      </c>
      <c r="B112" t="s">
        <v>50</v>
      </c>
      <c r="C112" s="136">
        <v>46029</v>
      </c>
      <c r="D112">
        <v>51869</v>
      </c>
      <c r="E112">
        <v>268</v>
      </c>
      <c r="F112">
        <v>106005</v>
      </c>
      <c r="G112">
        <v>548137</v>
      </c>
      <c r="H112">
        <v>134375676</v>
      </c>
      <c r="I112">
        <v>548405</v>
      </c>
      <c r="J112" s="97">
        <v>134481681</v>
      </c>
    </row>
    <row r="113" spans="1:10" x14ac:dyDescent="0.25">
      <c r="A113">
        <v>80</v>
      </c>
      <c r="B113" t="s">
        <v>50</v>
      </c>
      <c r="C113" s="136">
        <v>46029</v>
      </c>
      <c r="D113">
        <v>51870</v>
      </c>
      <c r="E113">
        <v>152</v>
      </c>
      <c r="F113">
        <v>59900</v>
      </c>
      <c r="G113">
        <v>466102</v>
      </c>
      <c r="H113">
        <v>116468363</v>
      </c>
      <c r="I113">
        <v>466254</v>
      </c>
      <c r="J113" s="97">
        <v>116528263</v>
      </c>
    </row>
    <row r="114" spans="1:10" x14ac:dyDescent="0.25">
      <c r="A114">
        <v>80</v>
      </c>
      <c r="B114" t="s">
        <v>50</v>
      </c>
      <c r="C114" s="136">
        <v>46029</v>
      </c>
      <c r="D114">
        <v>51871</v>
      </c>
      <c r="E114">
        <v>421</v>
      </c>
      <c r="F114">
        <v>643700</v>
      </c>
      <c r="G114">
        <v>732506</v>
      </c>
      <c r="H114">
        <v>213444437</v>
      </c>
      <c r="I114">
        <v>732927</v>
      </c>
      <c r="J114" s="97">
        <v>214088137</v>
      </c>
    </row>
    <row r="115" spans="1:10" x14ac:dyDescent="0.25">
      <c r="A115">
        <v>80</v>
      </c>
      <c r="B115" t="s">
        <v>50</v>
      </c>
      <c r="C115" s="136">
        <v>46030</v>
      </c>
      <c r="D115">
        <v>51872</v>
      </c>
      <c r="E115">
        <v>184</v>
      </c>
      <c r="F115">
        <v>1068299</v>
      </c>
      <c r="G115">
        <v>354513</v>
      </c>
      <c r="H115">
        <v>85209657</v>
      </c>
      <c r="I115">
        <v>354697</v>
      </c>
      <c r="J115" s="97">
        <v>86277956</v>
      </c>
    </row>
    <row r="116" spans="1:10" x14ac:dyDescent="0.25">
      <c r="A116">
        <v>80</v>
      </c>
      <c r="B116" t="s">
        <v>50</v>
      </c>
      <c r="C116" s="136">
        <v>46030</v>
      </c>
      <c r="D116">
        <v>51873</v>
      </c>
      <c r="E116">
        <v>66</v>
      </c>
      <c r="F116">
        <v>179700</v>
      </c>
      <c r="G116">
        <v>426381</v>
      </c>
      <c r="H116">
        <v>101447776</v>
      </c>
      <c r="I116">
        <v>426447</v>
      </c>
      <c r="J116" s="97">
        <v>101627476</v>
      </c>
    </row>
    <row r="117" spans="1:10" x14ac:dyDescent="0.25">
      <c r="A117">
        <v>80</v>
      </c>
      <c r="B117" t="s">
        <v>50</v>
      </c>
      <c r="C117" s="136">
        <v>46030</v>
      </c>
      <c r="D117">
        <v>51874</v>
      </c>
      <c r="E117">
        <v>206</v>
      </c>
      <c r="F117">
        <v>1285701</v>
      </c>
      <c r="G117">
        <v>550195</v>
      </c>
      <c r="H117">
        <v>135377034</v>
      </c>
      <c r="I117">
        <v>550401</v>
      </c>
      <c r="J117" s="97">
        <v>136662735</v>
      </c>
    </row>
    <row r="118" spans="1:10" x14ac:dyDescent="0.25">
      <c r="A118">
        <v>80</v>
      </c>
      <c r="B118" t="s">
        <v>50</v>
      </c>
      <c r="C118" s="136">
        <v>46030</v>
      </c>
      <c r="D118">
        <v>51875</v>
      </c>
      <c r="E118">
        <v>173</v>
      </c>
      <c r="F118">
        <v>2064590</v>
      </c>
      <c r="G118">
        <v>480720</v>
      </c>
      <c r="H118">
        <v>119422961</v>
      </c>
      <c r="I118">
        <v>480893</v>
      </c>
      <c r="J118" s="97">
        <v>121487551</v>
      </c>
    </row>
    <row r="119" spans="1:10" x14ac:dyDescent="0.25">
      <c r="A119">
        <v>80</v>
      </c>
      <c r="B119" t="s">
        <v>50</v>
      </c>
      <c r="C119" s="136">
        <v>46030</v>
      </c>
      <c r="D119">
        <v>51876</v>
      </c>
      <c r="E119">
        <v>282</v>
      </c>
      <c r="F119">
        <v>603350</v>
      </c>
      <c r="G119">
        <v>747634</v>
      </c>
      <c r="H119">
        <v>214360380</v>
      </c>
      <c r="I119">
        <v>747916</v>
      </c>
      <c r="J119" s="97">
        <v>214963730</v>
      </c>
    </row>
    <row r="120" spans="1:10" x14ac:dyDescent="0.25">
      <c r="A120">
        <v>80</v>
      </c>
      <c r="B120" t="s">
        <v>50</v>
      </c>
      <c r="C120" s="136">
        <v>46031</v>
      </c>
      <c r="D120">
        <v>51877</v>
      </c>
      <c r="E120">
        <v>98</v>
      </c>
      <c r="F120">
        <v>36400</v>
      </c>
      <c r="G120">
        <v>359292</v>
      </c>
      <c r="H120">
        <v>84094812</v>
      </c>
      <c r="I120">
        <v>359390</v>
      </c>
      <c r="J120" s="97">
        <v>84131212</v>
      </c>
    </row>
    <row r="121" spans="1:10" x14ac:dyDescent="0.25">
      <c r="A121">
        <v>80</v>
      </c>
      <c r="B121" t="s">
        <v>50</v>
      </c>
      <c r="C121" s="136">
        <v>46031</v>
      </c>
      <c r="D121">
        <v>51878</v>
      </c>
      <c r="E121">
        <v>247</v>
      </c>
      <c r="F121">
        <v>1344500</v>
      </c>
      <c r="G121">
        <v>437171</v>
      </c>
      <c r="H121">
        <v>104382264</v>
      </c>
      <c r="I121">
        <v>437418</v>
      </c>
      <c r="J121" s="97">
        <v>105726764</v>
      </c>
    </row>
    <row r="122" spans="1:10" x14ac:dyDescent="0.25">
      <c r="A122">
        <v>80</v>
      </c>
      <c r="B122" t="s">
        <v>50</v>
      </c>
      <c r="C122" s="136">
        <v>46031</v>
      </c>
      <c r="D122">
        <v>51879</v>
      </c>
      <c r="E122">
        <v>203</v>
      </c>
      <c r="F122">
        <v>178800</v>
      </c>
      <c r="G122">
        <v>572933</v>
      </c>
      <c r="H122">
        <v>142486438</v>
      </c>
      <c r="I122">
        <v>573136</v>
      </c>
      <c r="J122" s="97">
        <v>142665238</v>
      </c>
    </row>
    <row r="123" spans="1:10" x14ac:dyDescent="0.25">
      <c r="A123">
        <v>80</v>
      </c>
      <c r="B123" t="s">
        <v>50</v>
      </c>
      <c r="C123" s="136">
        <v>46031</v>
      </c>
      <c r="D123">
        <v>51880</v>
      </c>
      <c r="E123">
        <v>303</v>
      </c>
      <c r="F123">
        <v>121384</v>
      </c>
      <c r="G123">
        <v>488866</v>
      </c>
      <c r="H123">
        <v>123290269</v>
      </c>
      <c r="I123">
        <v>489169</v>
      </c>
      <c r="J123" s="97">
        <v>123411653</v>
      </c>
    </row>
    <row r="124" spans="1:10" x14ac:dyDescent="0.25">
      <c r="A124">
        <v>80</v>
      </c>
      <c r="B124" t="s">
        <v>50</v>
      </c>
      <c r="C124" s="136">
        <v>46031</v>
      </c>
      <c r="D124">
        <v>51881</v>
      </c>
      <c r="E124">
        <v>665</v>
      </c>
      <c r="F124">
        <v>751610</v>
      </c>
      <c r="G124">
        <v>854599</v>
      </c>
      <c r="H124">
        <v>243936807</v>
      </c>
      <c r="I124">
        <v>855264</v>
      </c>
      <c r="J124" s="97">
        <v>244688417</v>
      </c>
    </row>
    <row r="125" spans="1:10" x14ac:dyDescent="0.25">
      <c r="A125">
        <v>80</v>
      </c>
      <c r="B125" t="s">
        <v>50</v>
      </c>
      <c r="C125" s="136">
        <v>46032</v>
      </c>
      <c r="D125">
        <v>51882</v>
      </c>
      <c r="E125">
        <v>148</v>
      </c>
      <c r="F125">
        <v>32100</v>
      </c>
      <c r="G125">
        <v>333736</v>
      </c>
      <c r="H125">
        <v>80356162</v>
      </c>
      <c r="I125">
        <v>333884</v>
      </c>
      <c r="J125" s="97">
        <v>80388262</v>
      </c>
    </row>
    <row r="126" spans="1:10" x14ac:dyDescent="0.25">
      <c r="A126">
        <v>80</v>
      </c>
      <c r="B126" t="s">
        <v>50</v>
      </c>
      <c r="C126" s="136">
        <v>46032</v>
      </c>
      <c r="D126">
        <v>51883</v>
      </c>
      <c r="E126">
        <v>322</v>
      </c>
      <c r="F126">
        <v>49400</v>
      </c>
      <c r="G126">
        <v>434522</v>
      </c>
      <c r="H126">
        <v>102866705</v>
      </c>
      <c r="I126">
        <v>434844</v>
      </c>
      <c r="J126" s="97">
        <v>102916105</v>
      </c>
    </row>
    <row r="127" spans="1:10" x14ac:dyDescent="0.25">
      <c r="A127">
        <v>80</v>
      </c>
      <c r="B127" t="s">
        <v>50</v>
      </c>
      <c r="C127" s="136">
        <v>46032</v>
      </c>
      <c r="D127">
        <v>51884</v>
      </c>
      <c r="E127">
        <v>376</v>
      </c>
      <c r="F127">
        <v>68983</v>
      </c>
      <c r="G127">
        <v>549111</v>
      </c>
      <c r="H127">
        <v>136380546</v>
      </c>
      <c r="I127">
        <v>549487</v>
      </c>
      <c r="J127" s="97">
        <v>136449529</v>
      </c>
    </row>
    <row r="128" spans="1:10" x14ac:dyDescent="0.25">
      <c r="A128">
        <v>80</v>
      </c>
      <c r="B128" t="s">
        <v>50</v>
      </c>
      <c r="C128" s="136">
        <v>46032</v>
      </c>
      <c r="D128">
        <v>51885</v>
      </c>
      <c r="E128">
        <v>297</v>
      </c>
      <c r="F128">
        <v>59280</v>
      </c>
      <c r="G128">
        <v>519074</v>
      </c>
      <c r="H128">
        <v>126214277</v>
      </c>
      <c r="I128">
        <v>519371</v>
      </c>
      <c r="J128" s="97">
        <v>126273557</v>
      </c>
    </row>
    <row r="129" spans="1:10" x14ac:dyDescent="0.25">
      <c r="A129">
        <v>80</v>
      </c>
      <c r="B129" t="s">
        <v>50</v>
      </c>
      <c r="C129" s="136">
        <v>46032</v>
      </c>
      <c r="D129">
        <v>51886</v>
      </c>
      <c r="E129">
        <v>560</v>
      </c>
      <c r="F129">
        <v>158152</v>
      </c>
      <c r="G129">
        <v>931278</v>
      </c>
      <c r="H129">
        <v>262393524</v>
      </c>
      <c r="I129">
        <v>931838</v>
      </c>
      <c r="J129" s="97">
        <v>262551676</v>
      </c>
    </row>
    <row r="130" spans="1:10" x14ac:dyDescent="0.25">
      <c r="A130">
        <v>80</v>
      </c>
      <c r="B130" t="s">
        <v>50</v>
      </c>
      <c r="C130" s="136">
        <v>46034</v>
      </c>
      <c r="D130">
        <v>51887</v>
      </c>
      <c r="E130">
        <v>188</v>
      </c>
      <c r="F130">
        <v>89250</v>
      </c>
      <c r="G130">
        <v>383418</v>
      </c>
      <c r="H130">
        <v>91090331</v>
      </c>
      <c r="I130">
        <v>383606</v>
      </c>
      <c r="J130" s="97">
        <v>91179581</v>
      </c>
    </row>
    <row r="131" spans="1:10" x14ac:dyDescent="0.25">
      <c r="A131">
        <v>80</v>
      </c>
      <c r="B131" t="s">
        <v>50</v>
      </c>
      <c r="C131" s="136">
        <v>46034</v>
      </c>
      <c r="D131">
        <v>51888</v>
      </c>
      <c r="E131">
        <v>244</v>
      </c>
      <c r="F131">
        <v>991762</v>
      </c>
      <c r="G131">
        <v>450361</v>
      </c>
      <c r="H131">
        <v>109188244</v>
      </c>
      <c r="I131">
        <v>450605</v>
      </c>
      <c r="J131" s="97">
        <v>110180006</v>
      </c>
    </row>
    <row r="132" spans="1:10" x14ac:dyDescent="0.25">
      <c r="A132">
        <v>80</v>
      </c>
      <c r="B132" t="s">
        <v>50</v>
      </c>
      <c r="C132" s="136">
        <v>46034</v>
      </c>
      <c r="D132">
        <v>51889</v>
      </c>
      <c r="E132">
        <v>181</v>
      </c>
      <c r="F132">
        <v>52374</v>
      </c>
      <c r="G132">
        <v>551899</v>
      </c>
      <c r="H132">
        <v>134794297</v>
      </c>
      <c r="I132">
        <v>552080</v>
      </c>
      <c r="J132" s="97">
        <v>134846671</v>
      </c>
    </row>
    <row r="133" spans="1:10" x14ac:dyDescent="0.25">
      <c r="A133">
        <v>80</v>
      </c>
      <c r="B133" t="s">
        <v>50</v>
      </c>
      <c r="C133" s="136">
        <v>46034</v>
      </c>
      <c r="D133">
        <v>51890</v>
      </c>
      <c r="E133">
        <v>219</v>
      </c>
      <c r="F133">
        <v>73191</v>
      </c>
      <c r="G133">
        <v>451560</v>
      </c>
      <c r="H133">
        <v>114939547</v>
      </c>
      <c r="I133">
        <v>451779</v>
      </c>
      <c r="J133" s="97">
        <v>115012738</v>
      </c>
    </row>
    <row r="134" spans="1:10" x14ac:dyDescent="0.25">
      <c r="A134">
        <v>80</v>
      </c>
      <c r="B134" t="s">
        <v>50</v>
      </c>
      <c r="C134" s="136">
        <v>46034</v>
      </c>
      <c r="D134">
        <v>51891</v>
      </c>
      <c r="E134">
        <v>369</v>
      </c>
      <c r="F134">
        <v>161609</v>
      </c>
      <c r="G134">
        <v>722755</v>
      </c>
      <c r="H134">
        <v>205527658</v>
      </c>
      <c r="I134">
        <v>723124</v>
      </c>
      <c r="J134" s="97">
        <v>205689267</v>
      </c>
    </row>
    <row r="135" spans="1:10" x14ac:dyDescent="0.25">
      <c r="A135">
        <v>80</v>
      </c>
      <c r="B135" t="s">
        <v>50</v>
      </c>
      <c r="C135" s="136">
        <v>46035</v>
      </c>
      <c r="D135">
        <v>51892</v>
      </c>
      <c r="E135">
        <v>273</v>
      </c>
      <c r="F135">
        <v>93676</v>
      </c>
      <c r="G135">
        <v>389142</v>
      </c>
      <c r="H135">
        <v>92044799</v>
      </c>
      <c r="I135">
        <v>389415</v>
      </c>
      <c r="J135" s="97">
        <v>92138475</v>
      </c>
    </row>
    <row r="136" spans="1:10" x14ac:dyDescent="0.25">
      <c r="A136">
        <v>80</v>
      </c>
      <c r="B136" t="s">
        <v>50</v>
      </c>
      <c r="C136" s="136">
        <v>46035</v>
      </c>
      <c r="D136">
        <v>51893</v>
      </c>
      <c r="E136">
        <v>125</v>
      </c>
      <c r="F136">
        <v>37400</v>
      </c>
      <c r="G136">
        <v>456047</v>
      </c>
      <c r="H136">
        <v>106800097</v>
      </c>
      <c r="I136">
        <v>456172</v>
      </c>
      <c r="J136" s="97">
        <v>106837497</v>
      </c>
    </row>
    <row r="137" spans="1:10" x14ac:dyDescent="0.25">
      <c r="A137">
        <v>80</v>
      </c>
      <c r="B137" t="s">
        <v>50</v>
      </c>
      <c r="C137" s="136">
        <v>46035</v>
      </c>
      <c r="D137">
        <v>51894</v>
      </c>
      <c r="E137">
        <v>226</v>
      </c>
      <c r="F137">
        <v>44653</v>
      </c>
      <c r="G137">
        <v>563714</v>
      </c>
      <c r="H137">
        <v>139489071</v>
      </c>
      <c r="I137">
        <v>563940</v>
      </c>
      <c r="J137" s="97">
        <v>139533724</v>
      </c>
    </row>
    <row r="138" spans="1:10" x14ac:dyDescent="0.25">
      <c r="A138">
        <v>80</v>
      </c>
      <c r="B138" t="s">
        <v>50</v>
      </c>
      <c r="C138" s="136">
        <v>46035</v>
      </c>
      <c r="D138">
        <v>51895</v>
      </c>
      <c r="E138">
        <v>261</v>
      </c>
      <c r="F138">
        <v>673800</v>
      </c>
      <c r="G138">
        <v>495879</v>
      </c>
      <c r="H138">
        <v>121428462</v>
      </c>
      <c r="I138">
        <v>496140</v>
      </c>
      <c r="J138" s="97">
        <v>122102262</v>
      </c>
    </row>
    <row r="139" spans="1:10" x14ac:dyDescent="0.25">
      <c r="A139">
        <v>80</v>
      </c>
      <c r="B139" t="s">
        <v>50</v>
      </c>
      <c r="C139" s="136">
        <v>46035</v>
      </c>
      <c r="D139">
        <v>51896</v>
      </c>
      <c r="E139">
        <v>266</v>
      </c>
      <c r="F139">
        <v>155800</v>
      </c>
      <c r="G139">
        <v>759660</v>
      </c>
      <c r="H139">
        <v>216142565</v>
      </c>
      <c r="I139">
        <v>759926</v>
      </c>
      <c r="J139" s="97">
        <v>216298365</v>
      </c>
    </row>
    <row r="140" spans="1:10" x14ac:dyDescent="0.25">
      <c r="A140">
        <v>80</v>
      </c>
      <c r="B140" t="s">
        <v>50</v>
      </c>
      <c r="C140" s="136">
        <v>46036</v>
      </c>
      <c r="D140">
        <v>51897</v>
      </c>
      <c r="E140">
        <v>86</v>
      </c>
      <c r="F140">
        <v>25250</v>
      </c>
      <c r="G140">
        <v>353472</v>
      </c>
      <c r="H140">
        <v>82907683</v>
      </c>
      <c r="I140">
        <v>353558</v>
      </c>
      <c r="J140" s="97">
        <v>82932933</v>
      </c>
    </row>
    <row r="141" spans="1:10" x14ac:dyDescent="0.25">
      <c r="A141">
        <v>80</v>
      </c>
      <c r="B141" t="s">
        <v>50</v>
      </c>
      <c r="C141" s="136">
        <v>46036</v>
      </c>
      <c r="D141">
        <v>51898</v>
      </c>
      <c r="E141">
        <v>64</v>
      </c>
      <c r="F141">
        <v>20200</v>
      </c>
      <c r="G141">
        <v>407991</v>
      </c>
      <c r="H141">
        <v>97871038</v>
      </c>
      <c r="I141">
        <v>408055</v>
      </c>
      <c r="J141" s="97">
        <v>97891238</v>
      </c>
    </row>
    <row r="142" spans="1:10" x14ac:dyDescent="0.25">
      <c r="A142">
        <v>80</v>
      </c>
      <c r="B142" t="s">
        <v>50</v>
      </c>
      <c r="C142" s="136">
        <v>46036</v>
      </c>
      <c r="D142">
        <v>51899</v>
      </c>
      <c r="E142">
        <v>110</v>
      </c>
      <c r="F142">
        <v>35400</v>
      </c>
      <c r="G142">
        <v>540504</v>
      </c>
      <c r="H142">
        <v>133923203</v>
      </c>
      <c r="I142">
        <v>540614</v>
      </c>
      <c r="J142" s="97">
        <v>133958603</v>
      </c>
    </row>
    <row r="143" spans="1:10" x14ac:dyDescent="0.25">
      <c r="A143">
        <v>80</v>
      </c>
      <c r="B143" t="s">
        <v>50</v>
      </c>
      <c r="C143" s="136">
        <v>46036</v>
      </c>
      <c r="D143">
        <v>51900</v>
      </c>
      <c r="E143">
        <v>116</v>
      </c>
      <c r="F143">
        <v>50150</v>
      </c>
      <c r="G143">
        <v>442164</v>
      </c>
      <c r="H143">
        <v>110646752</v>
      </c>
      <c r="I143">
        <v>442280</v>
      </c>
      <c r="J143" s="97">
        <v>110696902</v>
      </c>
    </row>
    <row r="144" spans="1:10" x14ac:dyDescent="0.25">
      <c r="A144">
        <v>80</v>
      </c>
      <c r="B144" t="s">
        <v>50</v>
      </c>
      <c r="C144" s="136">
        <v>46036</v>
      </c>
      <c r="D144">
        <v>51901</v>
      </c>
      <c r="E144">
        <v>193</v>
      </c>
      <c r="F144">
        <v>94150</v>
      </c>
      <c r="G144">
        <v>706595</v>
      </c>
      <c r="H144">
        <v>207255147</v>
      </c>
      <c r="I144">
        <v>706788</v>
      </c>
      <c r="J144" s="97">
        <v>207349297</v>
      </c>
    </row>
    <row r="145" spans="1:10" x14ac:dyDescent="0.25">
      <c r="A145">
        <v>80</v>
      </c>
      <c r="B145" t="s">
        <v>50</v>
      </c>
      <c r="C145" s="136">
        <v>46037</v>
      </c>
      <c r="D145">
        <v>51902</v>
      </c>
      <c r="E145">
        <v>91</v>
      </c>
      <c r="F145">
        <v>545692</v>
      </c>
      <c r="G145">
        <v>336970</v>
      </c>
      <c r="H145">
        <v>78249561</v>
      </c>
      <c r="I145">
        <v>337061</v>
      </c>
      <c r="J145" s="97">
        <v>78795253</v>
      </c>
    </row>
    <row r="146" spans="1:10" x14ac:dyDescent="0.25">
      <c r="A146">
        <v>80</v>
      </c>
      <c r="B146" t="s">
        <v>50</v>
      </c>
      <c r="C146" s="136">
        <v>46037</v>
      </c>
      <c r="D146">
        <v>51903</v>
      </c>
      <c r="E146">
        <v>114</v>
      </c>
      <c r="F146">
        <v>53400</v>
      </c>
      <c r="G146">
        <v>393192</v>
      </c>
      <c r="H146">
        <v>94891130</v>
      </c>
      <c r="I146">
        <v>393306</v>
      </c>
      <c r="J146" s="97">
        <v>94944530</v>
      </c>
    </row>
    <row r="147" spans="1:10" x14ac:dyDescent="0.25">
      <c r="A147">
        <v>80</v>
      </c>
      <c r="B147" t="s">
        <v>50</v>
      </c>
      <c r="C147" s="136">
        <v>46037</v>
      </c>
      <c r="D147">
        <v>51904</v>
      </c>
      <c r="E147">
        <v>102</v>
      </c>
      <c r="F147">
        <v>34700</v>
      </c>
      <c r="G147">
        <v>501219</v>
      </c>
      <c r="H147">
        <v>123702409</v>
      </c>
      <c r="I147">
        <v>501321</v>
      </c>
      <c r="J147" s="97">
        <v>123737109</v>
      </c>
    </row>
    <row r="148" spans="1:10" x14ac:dyDescent="0.25">
      <c r="A148">
        <v>80</v>
      </c>
      <c r="B148" t="s">
        <v>50</v>
      </c>
      <c r="C148" s="136">
        <v>46037</v>
      </c>
      <c r="D148">
        <v>51905</v>
      </c>
      <c r="E148">
        <v>155</v>
      </c>
      <c r="F148">
        <v>36650</v>
      </c>
      <c r="G148">
        <v>420226</v>
      </c>
      <c r="H148">
        <v>105911241</v>
      </c>
      <c r="I148">
        <v>420381</v>
      </c>
      <c r="J148" s="97">
        <v>105947891</v>
      </c>
    </row>
    <row r="149" spans="1:10" x14ac:dyDescent="0.25">
      <c r="A149">
        <v>80</v>
      </c>
      <c r="B149" t="s">
        <v>50</v>
      </c>
      <c r="C149" s="136">
        <v>46037</v>
      </c>
      <c r="D149">
        <v>51906</v>
      </c>
      <c r="E149">
        <v>338</v>
      </c>
      <c r="F149">
        <v>1204391</v>
      </c>
      <c r="G149">
        <v>657797</v>
      </c>
      <c r="H149">
        <v>189235323</v>
      </c>
      <c r="I149">
        <v>658135</v>
      </c>
      <c r="J149" s="97">
        <v>190439714</v>
      </c>
    </row>
    <row r="150" spans="1:10" x14ac:dyDescent="0.25">
      <c r="A150">
        <v>80</v>
      </c>
      <c r="B150" t="s">
        <v>50</v>
      </c>
      <c r="C150" s="136">
        <v>46038</v>
      </c>
      <c r="D150">
        <v>51907</v>
      </c>
      <c r="E150">
        <v>106</v>
      </c>
      <c r="F150">
        <v>32500</v>
      </c>
      <c r="G150">
        <v>345449</v>
      </c>
      <c r="H150">
        <v>82676813</v>
      </c>
      <c r="I150">
        <v>345555</v>
      </c>
      <c r="J150" s="97">
        <v>82709313</v>
      </c>
    </row>
    <row r="151" spans="1:10" x14ac:dyDescent="0.25">
      <c r="A151">
        <v>80</v>
      </c>
      <c r="B151" t="s">
        <v>50</v>
      </c>
      <c r="C151" s="136">
        <v>46038</v>
      </c>
      <c r="D151">
        <v>51908</v>
      </c>
      <c r="E151">
        <v>138</v>
      </c>
      <c r="F151">
        <v>28150</v>
      </c>
      <c r="G151">
        <v>412222</v>
      </c>
      <c r="H151">
        <v>98723263</v>
      </c>
      <c r="I151">
        <v>412360</v>
      </c>
      <c r="J151" s="97">
        <v>98751413</v>
      </c>
    </row>
    <row r="152" spans="1:10" x14ac:dyDescent="0.25">
      <c r="A152">
        <v>80</v>
      </c>
      <c r="B152" t="s">
        <v>50</v>
      </c>
      <c r="C152" s="136">
        <v>46038</v>
      </c>
      <c r="D152">
        <v>51909</v>
      </c>
      <c r="E152">
        <v>224</v>
      </c>
      <c r="F152">
        <v>61870</v>
      </c>
      <c r="G152">
        <v>542825</v>
      </c>
      <c r="H152">
        <v>135160938</v>
      </c>
      <c r="I152">
        <v>543049</v>
      </c>
      <c r="J152" s="97">
        <v>135222808</v>
      </c>
    </row>
    <row r="153" spans="1:10" x14ac:dyDescent="0.25">
      <c r="A153">
        <v>80</v>
      </c>
      <c r="B153" t="s">
        <v>50</v>
      </c>
      <c r="C153" s="136">
        <v>46038</v>
      </c>
      <c r="D153">
        <v>51910</v>
      </c>
      <c r="E153">
        <v>237</v>
      </c>
      <c r="F153">
        <v>66240</v>
      </c>
      <c r="G153">
        <v>450467</v>
      </c>
      <c r="H153">
        <v>110435698</v>
      </c>
      <c r="I153">
        <v>450704</v>
      </c>
      <c r="J153" s="97">
        <v>110501938</v>
      </c>
    </row>
    <row r="154" spans="1:10" x14ac:dyDescent="0.25">
      <c r="A154">
        <v>80</v>
      </c>
      <c r="B154" t="s">
        <v>50</v>
      </c>
      <c r="C154" s="136">
        <v>46038</v>
      </c>
      <c r="D154">
        <v>51911</v>
      </c>
      <c r="E154">
        <v>370</v>
      </c>
      <c r="F154">
        <v>160150</v>
      </c>
      <c r="G154">
        <v>813440</v>
      </c>
      <c r="H154">
        <v>234002594</v>
      </c>
      <c r="I154">
        <v>813810</v>
      </c>
      <c r="J154" s="97">
        <v>234162744</v>
      </c>
    </row>
    <row r="155" spans="1:10" x14ac:dyDescent="0.25">
      <c r="A155">
        <v>80</v>
      </c>
      <c r="B155" t="s">
        <v>50</v>
      </c>
      <c r="C155" s="136">
        <v>46039</v>
      </c>
      <c r="D155">
        <v>51912</v>
      </c>
      <c r="E155">
        <v>114</v>
      </c>
      <c r="F155">
        <v>39160</v>
      </c>
      <c r="G155">
        <v>334940</v>
      </c>
      <c r="H155">
        <v>80421108</v>
      </c>
      <c r="I155">
        <v>335054</v>
      </c>
      <c r="J155" s="97">
        <v>80460268</v>
      </c>
    </row>
    <row r="156" spans="1:10" x14ac:dyDescent="0.25">
      <c r="A156">
        <v>80</v>
      </c>
      <c r="B156" t="s">
        <v>50</v>
      </c>
      <c r="C156" s="136">
        <v>46039</v>
      </c>
      <c r="D156">
        <v>51913</v>
      </c>
      <c r="E156">
        <v>140</v>
      </c>
      <c r="F156">
        <v>45012</v>
      </c>
      <c r="G156">
        <v>421438</v>
      </c>
      <c r="H156">
        <v>100263436</v>
      </c>
      <c r="I156">
        <v>421578</v>
      </c>
      <c r="J156" s="97">
        <v>100308448</v>
      </c>
    </row>
    <row r="157" spans="1:10" x14ac:dyDescent="0.25">
      <c r="A157">
        <v>80</v>
      </c>
      <c r="B157" t="s">
        <v>50</v>
      </c>
      <c r="C157" s="136">
        <v>46039</v>
      </c>
      <c r="D157">
        <v>51914</v>
      </c>
      <c r="E157">
        <v>162</v>
      </c>
      <c r="F157">
        <v>45809</v>
      </c>
      <c r="G157">
        <v>465638</v>
      </c>
      <c r="H157">
        <v>114034019</v>
      </c>
      <c r="I157">
        <v>465800</v>
      </c>
      <c r="J157" s="97">
        <v>114079828</v>
      </c>
    </row>
    <row r="158" spans="1:10" x14ac:dyDescent="0.25">
      <c r="A158">
        <v>80</v>
      </c>
      <c r="B158" t="s">
        <v>50</v>
      </c>
      <c r="C158" s="136">
        <v>46039</v>
      </c>
      <c r="D158">
        <v>51915</v>
      </c>
      <c r="E158">
        <v>178</v>
      </c>
      <c r="F158">
        <v>31507</v>
      </c>
      <c r="G158">
        <v>434698</v>
      </c>
      <c r="H158">
        <v>105487967</v>
      </c>
      <c r="I158">
        <v>434876</v>
      </c>
      <c r="J158" s="97">
        <v>105519474</v>
      </c>
    </row>
    <row r="159" spans="1:10" x14ac:dyDescent="0.25">
      <c r="A159">
        <v>80</v>
      </c>
      <c r="B159" t="s">
        <v>50</v>
      </c>
      <c r="C159" s="136">
        <v>46039</v>
      </c>
      <c r="D159">
        <v>51916</v>
      </c>
      <c r="E159">
        <v>288</v>
      </c>
      <c r="F159">
        <v>209503</v>
      </c>
      <c r="G159">
        <v>871726</v>
      </c>
      <c r="H159">
        <v>264614829</v>
      </c>
      <c r="I159">
        <v>872014</v>
      </c>
      <c r="J159" s="97">
        <v>264824332</v>
      </c>
    </row>
    <row r="160" spans="1:10" x14ac:dyDescent="0.25">
      <c r="A160">
        <v>80</v>
      </c>
      <c r="B160" t="s">
        <v>50</v>
      </c>
      <c r="C160" s="136">
        <v>46041</v>
      </c>
      <c r="D160">
        <v>51917</v>
      </c>
      <c r="E160">
        <v>144</v>
      </c>
      <c r="F160">
        <v>50500</v>
      </c>
      <c r="G160">
        <v>331133</v>
      </c>
      <c r="H160">
        <v>78009537</v>
      </c>
      <c r="I160">
        <v>331277</v>
      </c>
      <c r="J160" s="97">
        <v>78060037</v>
      </c>
    </row>
    <row r="161" spans="1:10" x14ac:dyDescent="0.25">
      <c r="A161">
        <v>80</v>
      </c>
      <c r="B161" t="s">
        <v>50</v>
      </c>
      <c r="C161" s="136">
        <v>46041</v>
      </c>
      <c r="D161">
        <v>51918</v>
      </c>
      <c r="E161">
        <v>153</v>
      </c>
      <c r="F161">
        <v>84150</v>
      </c>
      <c r="G161">
        <v>383834</v>
      </c>
      <c r="H161">
        <v>89971478</v>
      </c>
      <c r="I161">
        <v>383987</v>
      </c>
      <c r="J161" s="97">
        <v>90055628</v>
      </c>
    </row>
    <row r="162" spans="1:10" x14ac:dyDescent="0.25">
      <c r="A162">
        <v>80</v>
      </c>
      <c r="B162" t="s">
        <v>50</v>
      </c>
      <c r="C162" s="136">
        <v>46041</v>
      </c>
      <c r="D162">
        <v>51919</v>
      </c>
      <c r="E162">
        <v>230</v>
      </c>
      <c r="F162">
        <v>1777800</v>
      </c>
      <c r="G162">
        <v>507961</v>
      </c>
      <c r="H162">
        <v>123778554</v>
      </c>
      <c r="I162">
        <v>508191</v>
      </c>
      <c r="J162" s="97">
        <v>125556354</v>
      </c>
    </row>
    <row r="163" spans="1:10" x14ac:dyDescent="0.25">
      <c r="A163">
        <v>80</v>
      </c>
      <c r="B163" t="s">
        <v>50</v>
      </c>
      <c r="C163" s="136">
        <v>46041</v>
      </c>
      <c r="D163">
        <v>51920</v>
      </c>
      <c r="E163">
        <v>263</v>
      </c>
      <c r="F163">
        <v>77460</v>
      </c>
      <c r="G163">
        <v>413625</v>
      </c>
      <c r="H163">
        <v>103778224</v>
      </c>
      <c r="I163">
        <v>413888</v>
      </c>
      <c r="J163" s="97">
        <v>103855684</v>
      </c>
    </row>
    <row r="164" spans="1:10" x14ac:dyDescent="0.25">
      <c r="A164">
        <v>80</v>
      </c>
      <c r="B164" t="s">
        <v>50</v>
      </c>
      <c r="C164" s="136">
        <v>46041</v>
      </c>
      <c r="D164">
        <v>51921</v>
      </c>
      <c r="E164">
        <v>353</v>
      </c>
      <c r="F164">
        <v>147150</v>
      </c>
      <c r="G164">
        <v>676379</v>
      </c>
      <c r="H164">
        <v>195778829</v>
      </c>
      <c r="I164">
        <v>676732</v>
      </c>
      <c r="J164" s="97">
        <v>195925979</v>
      </c>
    </row>
    <row r="165" spans="1:10" x14ac:dyDescent="0.25">
      <c r="A165">
        <v>80</v>
      </c>
      <c r="B165" t="s">
        <v>50</v>
      </c>
      <c r="C165" s="136">
        <v>46042</v>
      </c>
      <c r="D165">
        <v>51922</v>
      </c>
      <c r="E165">
        <v>157</v>
      </c>
      <c r="F165">
        <v>55500</v>
      </c>
      <c r="G165">
        <v>321738</v>
      </c>
      <c r="H165">
        <v>79244511</v>
      </c>
      <c r="I165">
        <v>321895</v>
      </c>
      <c r="J165" s="97">
        <v>79300011</v>
      </c>
    </row>
    <row r="166" spans="1:10" x14ac:dyDescent="0.25">
      <c r="A166">
        <v>80</v>
      </c>
      <c r="B166" t="s">
        <v>50</v>
      </c>
      <c r="C166" s="136">
        <v>46042</v>
      </c>
      <c r="D166">
        <v>51923</v>
      </c>
      <c r="E166">
        <v>156</v>
      </c>
      <c r="F166">
        <v>75000</v>
      </c>
      <c r="G166">
        <v>390174</v>
      </c>
      <c r="H166">
        <v>94881091</v>
      </c>
      <c r="I166">
        <v>390330</v>
      </c>
      <c r="J166" s="97">
        <v>94956091</v>
      </c>
    </row>
    <row r="167" spans="1:10" x14ac:dyDescent="0.25">
      <c r="A167">
        <v>80</v>
      </c>
      <c r="B167" t="s">
        <v>50</v>
      </c>
      <c r="C167" s="136">
        <v>46042</v>
      </c>
      <c r="D167">
        <v>51924</v>
      </c>
      <c r="E167">
        <v>318</v>
      </c>
      <c r="F167">
        <v>106400</v>
      </c>
      <c r="G167">
        <v>496721</v>
      </c>
      <c r="H167">
        <v>120327089</v>
      </c>
      <c r="I167">
        <v>497039</v>
      </c>
      <c r="J167" s="97">
        <v>120433489</v>
      </c>
    </row>
    <row r="168" spans="1:10" x14ac:dyDescent="0.25">
      <c r="A168">
        <v>80</v>
      </c>
      <c r="B168" t="s">
        <v>50</v>
      </c>
      <c r="C168" s="136">
        <v>46042</v>
      </c>
      <c r="D168">
        <v>51925</v>
      </c>
      <c r="E168">
        <v>277</v>
      </c>
      <c r="F168">
        <v>51583</v>
      </c>
      <c r="G168">
        <v>411898</v>
      </c>
      <c r="H168">
        <v>100930973</v>
      </c>
      <c r="I168">
        <v>412175</v>
      </c>
      <c r="J168" s="97">
        <v>100982556</v>
      </c>
    </row>
    <row r="169" spans="1:10" x14ac:dyDescent="0.25">
      <c r="A169">
        <v>80</v>
      </c>
      <c r="B169" t="s">
        <v>50</v>
      </c>
      <c r="C169" s="136">
        <v>46042</v>
      </c>
      <c r="D169">
        <v>51926</v>
      </c>
      <c r="E169">
        <v>310</v>
      </c>
      <c r="F169">
        <v>109066</v>
      </c>
      <c r="G169">
        <v>672009</v>
      </c>
      <c r="H169">
        <v>194419737</v>
      </c>
      <c r="I169">
        <v>672319</v>
      </c>
      <c r="J169" s="97">
        <v>194528803</v>
      </c>
    </row>
    <row r="170" spans="1:10" x14ac:dyDescent="0.25">
      <c r="A170">
        <v>80</v>
      </c>
      <c r="B170" t="s">
        <v>50</v>
      </c>
      <c r="C170" s="136">
        <v>46043</v>
      </c>
      <c r="D170">
        <v>51927</v>
      </c>
      <c r="E170">
        <v>135</v>
      </c>
      <c r="F170">
        <v>33300</v>
      </c>
      <c r="G170">
        <v>339121</v>
      </c>
      <c r="H170">
        <v>80211935</v>
      </c>
      <c r="I170">
        <v>339256</v>
      </c>
      <c r="J170" s="97">
        <v>80245235</v>
      </c>
    </row>
    <row r="171" spans="1:10" x14ac:dyDescent="0.25">
      <c r="A171">
        <v>80</v>
      </c>
      <c r="B171" t="s">
        <v>50</v>
      </c>
      <c r="C171" s="136">
        <v>46043</v>
      </c>
      <c r="D171">
        <v>51928</v>
      </c>
      <c r="E171">
        <v>202</v>
      </c>
      <c r="F171">
        <v>51300</v>
      </c>
      <c r="G171">
        <v>402793</v>
      </c>
      <c r="H171">
        <v>95473219</v>
      </c>
      <c r="I171">
        <v>402995</v>
      </c>
      <c r="J171" s="97">
        <v>95524519</v>
      </c>
    </row>
    <row r="172" spans="1:10" x14ac:dyDescent="0.25">
      <c r="A172">
        <v>80</v>
      </c>
      <c r="B172" t="s">
        <v>50</v>
      </c>
      <c r="C172" s="136">
        <v>46043</v>
      </c>
      <c r="D172">
        <v>51929</v>
      </c>
      <c r="E172">
        <v>183</v>
      </c>
      <c r="F172">
        <v>74081</v>
      </c>
      <c r="G172">
        <v>547759</v>
      </c>
      <c r="H172">
        <v>135865265</v>
      </c>
      <c r="I172">
        <v>547942</v>
      </c>
      <c r="J172" s="97">
        <v>135939346</v>
      </c>
    </row>
    <row r="173" spans="1:10" x14ac:dyDescent="0.25">
      <c r="A173">
        <v>80</v>
      </c>
      <c r="B173" t="s">
        <v>50</v>
      </c>
      <c r="C173" s="136">
        <v>46043</v>
      </c>
      <c r="D173">
        <v>51930</v>
      </c>
      <c r="E173">
        <v>218</v>
      </c>
      <c r="F173">
        <v>88270</v>
      </c>
      <c r="G173">
        <v>436012</v>
      </c>
      <c r="H173">
        <v>109109687</v>
      </c>
      <c r="I173">
        <v>436230</v>
      </c>
      <c r="J173" s="97">
        <v>109197957</v>
      </c>
    </row>
    <row r="174" spans="1:10" x14ac:dyDescent="0.25">
      <c r="A174">
        <v>80</v>
      </c>
      <c r="B174" t="s">
        <v>50</v>
      </c>
      <c r="C174" s="136">
        <v>46043</v>
      </c>
      <c r="D174">
        <v>51931</v>
      </c>
      <c r="E174">
        <v>336</v>
      </c>
      <c r="F174">
        <v>152450</v>
      </c>
      <c r="G174">
        <v>707846</v>
      </c>
      <c r="H174">
        <v>207440121</v>
      </c>
      <c r="I174">
        <v>708182</v>
      </c>
      <c r="J174" s="97">
        <v>207592571</v>
      </c>
    </row>
    <row r="175" spans="1:10" x14ac:dyDescent="0.25">
      <c r="A175">
        <v>80</v>
      </c>
      <c r="B175" t="s">
        <v>50</v>
      </c>
      <c r="C175" s="136">
        <v>46044</v>
      </c>
      <c r="D175">
        <v>51932</v>
      </c>
      <c r="E175">
        <v>98</v>
      </c>
      <c r="F175">
        <v>47150</v>
      </c>
      <c r="G175">
        <v>331189</v>
      </c>
      <c r="H175">
        <v>81587621</v>
      </c>
      <c r="I175">
        <v>331287</v>
      </c>
      <c r="J175" s="97">
        <v>81634771</v>
      </c>
    </row>
    <row r="176" spans="1:10" x14ac:dyDescent="0.25">
      <c r="A176">
        <v>80</v>
      </c>
      <c r="B176" t="s">
        <v>50</v>
      </c>
      <c r="C176" s="136">
        <v>46044</v>
      </c>
      <c r="D176">
        <v>51933</v>
      </c>
      <c r="E176">
        <v>179</v>
      </c>
      <c r="F176">
        <v>99500</v>
      </c>
      <c r="G176">
        <v>412344</v>
      </c>
      <c r="H176">
        <v>100764262</v>
      </c>
      <c r="I176">
        <v>412523</v>
      </c>
      <c r="J176" s="97">
        <v>100863762</v>
      </c>
    </row>
    <row r="177" spans="1:10" x14ac:dyDescent="0.25">
      <c r="A177">
        <v>80</v>
      </c>
      <c r="B177" t="s">
        <v>50</v>
      </c>
      <c r="C177" s="136">
        <v>46044</v>
      </c>
      <c r="D177">
        <v>51934</v>
      </c>
      <c r="E177">
        <v>265</v>
      </c>
      <c r="F177">
        <v>125900</v>
      </c>
      <c r="G177">
        <v>511323</v>
      </c>
      <c r="H177">
        <v>130253206</v>
      </c>
      <c r="I177">
        <v>511588</v>
      </c>
      <c r="J177" s="97">
        <v>130379106</v>
      </c>
    </row>
    <row r="178" spans="1:10" x14ac:dyDescent="0.25">
      <c r="A178">
        <v>80</v>
      </c>
      <c r="B178" t="s">
        <v>50</v>
      </c>
      <c r="C178" s="136">
        <v>46044</v>
      </c>
      <c r="D178">
        <v>51935</v>
      </c>
      <c r="E178">
        <v>240</v>
      </c>
      <c r="F178">
        <v>54000</v>
      </c>
      <c r="G178">
        <v>440620</v>
      </c>
      <c r="H178">
        <v>112653609</v>
      </c>
      <c r="I178">
        <v>440860</v>
      </c>
      <c r="J178" s="97">
        <v>112707609</v>
      </c>
    </row>
    <row r="179" spans="1:10" x14ac:dyDescent="0.25">
      <c r="A179">
        <v>80</v>
      </c>
      <c r="B179" t="s">
        <v>50</v>
      </c>
      <c r="C179" s="136">
        <v>46044</v>
      </c>
      <c r="D179">
        <v>51936</v>
      </c>
      <c r="E179">
        <v>359</v>
      </c>
      <c r="F179">
        <v>200350</v>
      </c>
      <c r="G179">
        <v>705376</v>
      </c>
      <c r="H179">
        <v>206219883</v>
      </c>
      <c r="I179">
        <v>705735</v>
      </c>
      <c r="J179" s="97">
        <v>206420233</v>
      </c>
    </row>
    <row r="180" spans="1:10" x14ac:dyDescent="0.25">
      <c r="A180">
        <v>80</v>
      </c>
      <c r="B180" t="s">
        <v>50</v>
      </c>
      <c r="C180" s="136">
        <v>46045</v>
      </c>
      <c r="D180">
        <v>51937</v>
      </c>
      <c r="E180">
        <v>155</v>
      </c>
      <c r="F180">
        <v>74708</v>
      </c>
      <c r="G180">
        <v>353520</v>
      </c>
      <c r="H180">
        <v>86562769</v>
      </c>
      <c r="I180">
        <v>353675</v>
      </c>
      <c r="J180" s="97">
        <v>86637477</v>
      </c>
    </row>
    <row r="181" spans="1:10" x14ac:dyDescent="0.25">
      <c r="A181">
        <v>80</v>
      </c>
      <c r="B181" t="s">
        <v>50</v>
      </c>
      <c r="C181" s="136">
        <v>46045</v>
      </c>
      <c r="D181">
        <v>51938</v>
      </c>
      <c r="E181">
        <v>239</v>
      </c>
      <c r="F181">
        <v>188800</v>
      </c>
      <c r="G181">
        <v>396128</v>
      </c>
      <c r="H181">
        <v>93454057</v>
      </c>
      <c r="I181">
        <v>396367</v>
      </c>
      <c r="J181" s="97">
        <v>93642857</v>
      </c>
    </row>
    <row r="182" spans="1:10" x14ac:dyDescent="0.25">
      <c r="A182">
        <v>80</v>
      </c>
      <c r="B182" t="s">
        <v>50</v>
      </c>
      <c r="C182" s="136">
        <v>46045</v>
      </c>
      <c r="D182">
        <v>51939</v>
      </c>
      <c r="E182">
        <v>260</v>
      </c>
      <c r="F182">
        <v>187200</v>
      </c>
      <c r="G182">
        <v>557846</v>
      </c>
      <c r="H182">
        <v>140114839</v>
      </c>
      <c r="I182">
        <v>558106</v>
      </c>
      <c r="J182" s="97">
        <v>140302039</v>
      </c>
    </row>
    <row r="183" spans="1:10" x14ac:dyDescent="0.25">
      <c r="A183">
        <v>80</v>
      </c>
      <c r="B183" t="s">
        <v>50</v>
      </c>
      <c r="C183" s="136">
        <v>46045</v>
      </c>
      <c r="D183">
        <v>51940</v>
      </c>
      <c r="E183">
        <v>185</v>
      </c>
      <c r="F183">
        <v>104390</v>
      </c>
      <c r="G183">
        <v>461834</v>
      </c>
      <c r="H183">
        <v>113749499</v>
      </c>
      <c r="I183">
        <v>462019</v>
      </c>
      <c r="J183" s="97">
        <v>113853889</v>
      </c>
    </row>
    <row r="184" spans="1:10" x14ac:dyDescent="0.25">
      <c r="A184">
        <v>80</v>
      </c>
      <c r="B184" t="s">
        <v>50</v>
      </c>
      <c r="C184" s="136">
        <v>46045</v>
      </c>
      <c r="D184">
        <v>51941</v>
      </c>
      <c r="E184">
        <v>336</v>
      </c>
      <c r="F184">
        <v>239598</v>
      </c>
      <c r="G184">
        <v>823684</v>
      </c>
      <c r="H184">
        <v>231474468</v>
      </c>
      <c r="I184">
        <v>824020</v>
      </c>
      <c r="J184" s="97">
        <v>231714066</v>
      </c>
    </row>
    <row r="185" spans="1:10" x14ac:dyDescent="0.25">
      <c r="A185">
        <v>80</v>
      </c>
      <c r="B185" t="s">
        <v>50</v>
      </c>
      <c r="C185" s="136">
        <v>46046</v>
      </c>
      <c r="D185">
        <v>51942</v>
      </c>
      <c r="E185">
        <v>179</v>
      </c>
      <c r="F185">
        <v>52104</v>
      </c>
      <c r="G185">
        <v>318369</v>
      </c>
      <c r="H185">
        <v>77260348</v>
      </c>
      <c r="I185">
        <v>318548</v>
      </c>
      <c r="J185" s="97">
        <v>77312452</v>
      </c>
    </row>
    <row r="186" spans="1:10" x14ac:dyDescent="0.25">
      <c r="A186">
        <v>80</v>
      </c>
      <c r="B186" t="s">
        <v>50</v>
      </c>
      <c r="C186" s="136">
        <v>46046</v>
      </c>
      <c r="D186">
        <v>51943</v>
      </c>
      <c r="E186">
        <v>194</v>
      </c>
      <c r="F186">
        <v>41115</v>
      </c>
      <c r="G186">
        <v>403496</v>
      </c>
      <c r="H186">
        <v>95795383</v>
      </c>
      <c r="I186">
        <v>403690</v>
      </c>
      <c r="J186" s="97">
        <v>95836498</v>
      </c>
    </row>
    <row r="187" spans="1:10" x14ac:dyDescent="0.25">
      <c r="A187">
        <v>80</v>
      </c>
      <c r="B187" t="s">
        <v>50</v>
      </c>
      <c r="C187" s="136">
        <v>46046</v>
      </c>
      <c r="D187">
        <v>51944</v>
      </c>
      <c r="E187">
        <v>217</v>
      </c>
      <c r="F187">
        <v>46411</v>
      </c>
      <c r="G187">
        <v>457119</v>
      </c>
      <c r="H187">
        <v>111371170</v>
      </c>
      <c r="I187">
        <v>457336</v>
      </c>
      <c r="J187" s="97">
        <v>111417581</v>
      </c>
    </row>
    <row r="188" spans="1:10" x14ac:dyDescent="0.25">
      <c r="A188">
        <v>80</v>
      </c>
      <c r="B188" t="s">
        <v>50</v>
      </c>
      <c r="C188" s="136">
        <v>46046</v>
      </c>
      <c r="D188">
        <v>51945</v>
      </c>
      <c r="E188">
        <v>196</v>
      </c>
      <c r="F188">
        <v>66600</v>
      </c>
      <c r="G188">
        <v>418610</v>
      </c>
      <c r="H188">
        <v>102104761</v>
      </c>
      <c r="I188">
        <v>418806</v>
      </c>
      <c r="J188" s="97">
        <v>102171361</v>
      </c>
    </row>
    <row r="189" spans="1:10" x14ac:dyDescent="0.25">
      <c r="A189">
        <v>80</v>
      </c>
      <c r="B189" t="s">
        <v>50</v>
      </c>
      <c r="C189" s="136">
        <v>46046</v>
      </c>
      <c r="D189">
        <v>51946</v>
      </c>
      <c r="E189">
        <v>413</v>
      </c>
      <c r="F189">
        <v>148800</v>
      </c>
      <c r="G189">
        <v>820776</v>
      </c>
      <c r="H189">
        <v>238883034</v>
      </c>
      <c r="I189">
        <v>821189</v>
      </c>
      <c r="J189" s="97">
        <v>239031834</v>
      </c>
    </row>
    <row r="190" spans="1:10" x14ac:dyDescent="0.25">
      <c r="A190">
        <v>80</v>
      </c>
      <c r="B190" t="s">
        <v>50</v>
      </c>
      <c r="C190" s="136">
        <v>46048</v>
      </c>
      <c r="D190">
        <v>51947</v>
      </c>
      <c r="E190">
        <v>143</v>
      </c>
      <c r="F190">
        <v>31300</v>
      </c>
      <c r="G190">
        <v>326085</v>
      </c>
      <c r="H190">
        <v>78322038</v>
      </c>
      <c r="I190">
        <v>326228</v>
      </c>
      <c r="J190" s="97">
        <v>78353338</v>
      </c>
    </row>
    <row r="191" spans="1:10" x14ac:dyDescent="0.25">
      <c r="A191">
        <v>80</v>
      </c>
      <c r="B191" t="s">
        <v>50</v>
      </c>
      <c r="C191" s="136">
        <v>46048</v>
      </c>
      <c r="D191">
        <v>51948</v>
      </c>
      <c r="E191">
        <v>159</v>
      </c>
      <c r="F191">
        <v>47000</v>
      </c>
      <c r="G191">
        <v>393896</v>
      </c>
      <c r="H191">
        <v>90575186</v>
      </c>
      <c r="I191">
        <v>394055</v>
      </c>
      <c r="J191" s="97">
        <v>90622186</v>
      </c>
    </row>
    <row r="192" spans="1:10" x14ac:dyDescent="0.25">
      <c r="A192">
        <v>80</v>
      </c>
      <c r="B192" t="s">
        <v>50</v>
      </c>
      <c r="C192" s="136">
        <v>46048</v>
      </c>
      <c r="D192">
        <v>51949</v>
      </c>
      <c r="E192">
        <v>217</v>
      </c>
      <c r="F192">
        <v>71843</v>
      </c>
      <c r="G192">
        <v>499851</v>
      </c>
      <c r="H192">
        <v>120768686</v>
      </c>
      <c r="I192">
        <v>500068</v>
      </c>
      <c r="J192" s="97">
        <v>120840529</v>
      </c>
    </row>
    <row r="193" spans="1:10" x14ac:dyDescent="0.25">
      <c r="A193">
        <v>80</v>
      </c>
      <c r="B193" t="s">
        <v>50</v>
      </c>
      <c r="C193" s="136">
        <v>46048</v>
      </c>
      <c r="D193">
        <v>51950</v>
      </c>
      <c r="E193">
        <v>287</v>
      </c>
      <c r="F193">
        <v>107640</v>
      </c>
      <c r="G193">
        <v>421190</v>
      </c>
      <c r="H193">
        <v>102841504</v>
      </c>
      <c r="I193">
        <v>421477</v>
      </c>
      <c r="J193" s="97">
        <v>102949144</v>
      </c>
    </row>
    <row r="194" spans="1:10" x14ac:dyDescent="0.25">
      <c r="A194">
        <v>80</v>
      </c>
      <c r="B194" t="s">
        <v>50</v>
      </c>
      <c r="C194" s="136">
        <v>46048</v>
      </c>
      <c r="D194">
        <v>51951</v>
      </c>
      <c r="E194">
        <v>392</v>
      </c>
      <c r="F194">
        <v>125850</v>
      </c>
      <c r="G194">
        <v>675786</v>
      </c>
      <c r="H194">
        <v>192898434</v>
      </c>
      <c r="I194">
        <v>676178</v>
      </c>
      <c r="J194" s="97">
        <v>193024284</v>
      </c>
    </row>
    <row r="195" spans="1:10" x14ac:dyDescent="0.25">
      <c r="A195">
        <v>80</v>
      </c>
      <c r="B195" t="s">
        <v>50</v>
      </c>
      <c r="C195" s="136">
        <v>46049</v>
      </c>
      <c r="D195">
        <v>51952</v>
      </c>
      <c r="E195">
        <v>123</v>
      </c>
      <c r="F195">
        <v>60567</v>
      </c>
      <c r="G195">
        <v>338871</v>
      </c>
      <c r="H195">
        <v>82371497</v>
      </c>
      <c r="I195">
        <v>338994</v>
      </c>
      <c r="J195" s="97">
        <v>82432064</v>
      </c>
    </row>
    <row r="196" spans="1:10" x14ac:dyDescent="0.25">
      <c r="A196">
        <v>80</v>
      </c>
      <c r="B196" t="s">
        <v>50</v>
      </c>
      <c r="C196" s="136">
        <v>46049</v>
      </c>
      <c r="D196">
        <v>51953</v>
      </c>
      <c r="E196">
        <v>103</v>
      </c>
      <c r="F196">
        <v>30800</v>
      </c>
      <c r="G196">
        <v>410993</v>
      </c>
      <c r="H196">
        <v>94294493</v>
      </c>
      <c r="I196">
        <v>411096</v>
      </c>
      <c r="J196" s="97">
        <v>94325293</v>
      </c>
    </row>
    <row r="197" spans="1:10" x14ac:dyDescent="0.25">
      <c r="A197">
        <v>80</v>
      </c>
      <c r="B197" t="s">
        <v>50</v>
      </c>
      <c r="C197" s="136">
        <v>46049</v>
      </c>
      <c r="D197">
        <v>51954</v>
      </c>
      <c r="E197">
        <v>231</v>
      </c>
      <c r="F197">
        <v>91280</v>
      </c>
      <c r="G197">
        <v>544856</v>
      </c>
      <c r="H197">
        <v>128952820</v>
      </c>
      <c r="I197">
        <v>545087</v>
      </c>
      <c r="J197" s="97">
        <v>129044100</v>
      </c>
    </row>
    <row r="198" spans="1:10" x14ac:dyDescent="0.25">
      <c r="A198">
        <v>80</v>
      </c>
      <c r="B198" t="s">
        <v>50</v>
      </c>
      <c r="C198" s="136">
        <v>46049</v>
      </c>
      <c r="D198">
        <v>51955</v>
      </c>
      <c r="E198">
        <v>182</v>
      </c>
      <c r="F198">
        <v>74400</v>
      </c>
      <c r="G198">
        <v>443617</v>
      </c>
      <c r="H198">
        <v>108737416</v>
      </c>
      <c r="I198">
        <v>443799</v>
      </c>
      <c r="J198" s="97">
        <v>108811816</v>
      </c>
    </row>
    <row r="199" spans="1:10" x14ac:dyDescent="0.25">
      <c r="A199">
        <v>80</v>
      </c>
      <c r="B199" t="s">
        <v>50</v>
      </c>
      <c r="C199" s="136">
        <v>46049</v>
      </c>
      <c r="D199">
        <v>51956</v>
      </c>
      <c r="E199">
        <v>297</v>
      </c>
      <c r="F199">
        <v>183200</v>
      </c>
      <c r="G199">
        <v>717874</v>
      </c>
      <c r="H199">
        <v>201996565</v>
      </c>
      <c r="I199">
        <v>718171</v>
      </c>
      <c r="J199" s="97">
        <v>202179765</v>
      </c>
    </row>
    <row r="200" spans="1:10" x14ac:dyDescent="0.25">
      <c r="A200">
        <v>80</v>
      </c>
      <c r="B200" t="s">
        <v>50</v>
      </c>
      <c r="C200" s="136">
        <v>46050</v>
      </c>
      <c r="D200">
        <v>51957</v>
      </c>
      <c r="E200">
        <v>78</v>
      </c>
      <c r="F200">
        <v>41600</v>
      </c>
      <c r="G200">
        <v>344365</v>
      </c>
      <c r="H200">
        <v>81991446</v>
      </c>
      <c r="I200">
        <v>344443</v>
      </c>
      <c r="J200" s="97">
        <v>82033046</v>
      </c>
    </row>
    <row r="201" spans="1:10" x14ac:dyDescent="0.25">
      <c r="A201">
        <v>80</v>
      </c>
      <c r="B201" t="s">
        <v>50</v>
      </c>
      <c r="C201" s="136">
        <v>46050</v>
      </c>
      <c r="D201">
        <v>51958</v>
      </c>
      <c r="E201">
        <v>135</v>
      </c>
      <c r="F201">
        <v>63700</v>
      </c>
      <c r="G201">
        <v>416930</v>
      </c>
      <c r="H201">
        <v>96505672</v>
      </c>
      <c r="I201">
        <v>417065</v>
      </c>
      <c r="J201" s="97">
        <v>96569372</v>
      </c>
    </row>
    <row r="202" spans="1:10" x14ac:dyDescent="0.25">
      <c r="A202">
        <v>80</v>
      </c>
      <c r="B202" t="s">
        <v>50</v>
      </c>
      <c r="C202" s="136">
        <v>46050</v>
      </c>
      <c r="D202">
        <v>51959</v>
      </c>
      <c r="E202">
        <v>182</v>
      </c>
      <c r="F202">
        <v>71900</v>
      </c>
      <c r="G202">
        <v>528656</v>
      </c>
      <c r="H202">
        <v>128642662</v>
      </c>
      <c r="I202">
        <v>528838</v>
      </c>
      <c r="J202" s="97">
        <v>128714562</v>
      </c>
    </row>
    <row r="203" spans="1:10" x14ac:dyDescent="0.25">
      <c r="A203">
        <v>80</v>
      </c>
      <c r="B203" t="s">
        <v>50</v>
      </c>
      <c r="C203" s="136">
        <v>46050</v>
      </c>
      <c r="D203">
        <v>51960</v>
      </c>
      <c r="E203">
        <v>130</v>
      </c>
      <c r="F203">
        <v>84200</v>
      </c>
      <c r="G203">
        <v>440446</v>
      </c>
      <c r="H203">
        <v>107566235</v>
      </c>
      <c r="I203">
        <v>440576</v>
      </c>
      <c r="J203" s="97">
        <v>107650435</v>
      </c>
    </row>
    <row r="204" spans="1:10" x14ac:dyDescent="0.25">
      <c r="A204">
        <v>80</v>
      </c>
      <c r="B204" t="s">
        <v>50</v>
      </c>
      <c r="C204" s="136">
        <v>46050</v>
      </c>
      <c r="D204">
        <v>51961</v>
      </c>
      <c r="E204">
        <v>275</v>
      </c>
      <c r="F204">
        <v>117688</v>
      </c>
      <c r="G204">
        <v>710932</v>
      </c>
      <c r="H204">
        <v>201874974</v>
      </c>
      <c r="I204">
        <v>711207</v>
      </c>
      <c r="J204" s="97">
        <v>201992662</v>
      </c>
    </row>
    <row r="205" spans="1:10" x14ac:dyDescent="0.25">
      <c r="A205">
        <v>80</v>
      </c>
      <c r="B205" t="s">
        <v>50</v>
      </c>
      <c r="C205" s="136">
        <v>46051</v>
      </c>
      <c r="D205">
        <v>51962</v>
      </c>
      <c r="E205">
        <v>110</v>
      </c>
      <c r="F205">
        <v>33690</v>
      </c>
      <c r="G205">
        <v>333674</v>
      </c>
      <c r="H205">
        <v>79759123</v>
      </c>
      <c r="I205">
        <v>333784</v>
      </c>
      <c r="J205" s="97">
        <v>79792813</v>
      </c>
    </row>
    <row r="206" spans="1:10" x14ac:dyDescent="0.25">
      <c r="A206">
        <v>80</v>
      </c>
      <c r="B206" t="s">
        <v>50</v>
      </c>
      <c r="C206" s="136">
        <v>46051</v>
      </c>
      <c r="D206">
        <v>51963</v>
      </c>
      <c r="E206">
        <v>81</v>
      </c>
      <c r="F206">
        <v>62901</v>
      </c>
      <c r="G206">
        <v>409323</v>
      </c>
      <c r="H206">
        <v>96515478</v>
      </c>
      <c r="I206">
        <v>409404</v>
      </c>
      <c r="J206" s="97">
        <v>96578379</v>
      </c>
    </row>
    <row r="207" spans="1:10" x14ac:dyDescent="0.25">
      <c r="A207">
        <v>80</v>
      </c>
      <c r="B207" t="s">
        <v>50</v>
      </c>
      <c r="C207" s="136">
        <v>46051</v>
      </c>
      <c r="D207">
        <v>51964</v>
      </c>
      <c r="E207">
        <v>152</v>
      </c>
      <c r="F207">
        <v>75700</v>
      </c>
      <c r="G207">
        <v>534028</v>
      </c>
      <c r="H207">
        <v>134485488</v>
      </c>
      <c r="I207">
        <v>534180</v>
      </c>
      <c r="J207" s="97">
        <v>134561188</v>
      </c>
    </row>
    <row r="208" spans="1:10" x14ac:dyDescent="0.25">
      <c r="A208">
        <v>80</v>
      </c>
      <c r="B208" t="s">
        <v>50</v>
      </c>
      <c r="C208" s="136">
        <v>46051</v>
      </c>
      <c r="D208">
        <v>51965</v>
      </c>
      <c r="E208">
        <v>158</v>
      </c>
      <c r="F208">
        <v>81401</v>
      </c>
      <c r="G208">
        <v>439754</v>
      </c>
      <c r="H208">
        <v>106961220</v>
      </c>
      <c r="I208">
        <v>439912</v>
      </c>
      <c r="J208" s="97">
        <v>107042621</v>
      </c>
    </row>
    <row r="209" spans="1:11" x14ac:dyDescent="0.25">
      <c r="A209">
        <v>80</v>
      </c>
      <c r="B209" t="s">
        <v>50</v>
      </c>
      <c r="C209" s="136">
        <v>46051</v>
      </c>
      <c r="D209">
        <v>51966</v>
      </c>
      <c r="E209">
        <v>350</v>
      </c>
      <c r="F209">
        <v>116600</v>
      </c>
      <c r="G209">
        <v>726568</v>
      </c>
      <c r="H209">
        <v>209412443</v>
      </c>
      <c r="I209">
        <v>726918</v>
      </c>
      <c r="J209" s="97">
        <v>209529043</v>
      </c>
    </row>
    <row r="210" spans="1:11" x14ac:dyDescent="0.25">
      <c r="A210">
        <v>80</v>
      </c>
      <c r="B210" t="s">
        <v>50</v>
      </c>
      <c r="C210" s="136">
        <v>46052</v>
      </c>
      <c r="D210">
        <v>51967</v>
      </c>
      <c r="E210">
        <v>82</v>
      </c>
      <c r="F210">
        <v>47100</v>
      </c>
      <c r="G210">
        <v>349911</v>
      </c>
      <c r="H210">
        <v>84193126</v>
      </c>
      <c r="I210">
        <v>349993</v>
      </c>
      <c r="J210" s="97">
        <v>84240226</v>
      </c>
    </row>
    <row r="211" spans="1:11" x14ac:dyDescent="0.25">
      <c r="A211">
        <v>80</v>
      </c>
      <c r="B211" t="s">
        <v>50</v>
      </c>
      <c r="C211" s="136">
        <v>46052</v>
      </c>
      <c r="D211">
        <v>51968</v>
      </c>
      <c r="E211">
        <v>120</v>
      </c>
      <c r="F211">
        <v>52099</v>
      </c>
      <c r="G211">
        <v>427786</v>
      </c>
      <c r="H211">
        <v>101947006</v>
      </c>
      <c r="I211">
        <v>427906</v>
      </c>
      <c r="J211" s="97">
        <v>101999105</v>
      </c>
    </row>
    <row r="212" spans="1:11" x14ac:dyDescent="0.25">
      <c r="A212">
        <v>80</v>
      </c>
      <c r="B212" t="s">
        <v>50</v>
      </c>
      <c r="C212" s="136">
        <v>46052</v>
      </c>
      <c r="D212">
        <v>51969</v>
      </c>
      <c r="E212">
        <v>126</v>
      </c>
      <c r="F212">
        <v>35250</v>
      </c>
      <c r="G212">
        <v>562528</v>
      </c>
      <c r="H212">
        <v>137856083</v>
      </c>
      <c r="I212">
        <v>562654</v>
      </c>
      <c r="J212" s="97">
        <v>137891333</v>
      </c>
    </row>
    <row r="213" spans="1:11" x14ac:dyDescent="0.25">
      <c r="A213">
        <v>80</v>
      </c>
      <c r="B213" t="s">
        <v>50</v>
      </c>
      <c r="C213" s="136">
        <v>46052</v>
      </c>
      <c r="D213">
        <v>51970</v>
      </c>
      <c r="E213">
        <v>173</v>
      </c>
      <c r="F213">
        <v>44080</v>
      </c>
      <c r="G213">
        <v>480627</v>
      </c>
      <c r="H213">
        <v>120552387</v>
      </c>
      <c r="I213">
        <v>480800</v>
      </c>
      <c r="J213" s="97">
        <v>120596467</v>
      </c>
    </row>
    <row r="214" spans="1:11" x14ac:dyDescent="0.25">
      <c r="A214">
        <v>80</v>
      </c>
      <c r="B214" t="s">
        <v>50</v>
      </c>
      <c r="C214" s="136">
        <v>46052</v>
      </c>
      <c r="D214">
        <v>51971</v>
      </c>
      <c r="E214">
        <v>284</v>
      </c>
      <c r="F214">
        <v>152157</v>
      </c>
      <c r="G214">
        <v>874905</v>
      </c>
      <c r="H214">
        <v>252026721</v>
      </c>
      <c r="I214">
        <v>875189</v>
      </c>
      <c r="J214" s="97">
        <v>252178878</v>
      </c>
    </row>
    <row r="215" spans="1:11" x14ac:dyDescent="0.25">
      <c r="A215">
        <v>80</v>
      </c>
      <c r="B215" t="s">
        <v>50</v>
      </c>
      <c r="C215" s="136">
        <v>46053</v>
      </c>
      <c r="D215">
        <v>51972</v>
      </c>
      <c r="E215">
        <v>178</v>
      </c>
      <c r="F215">
        <v>35800</v>
      </c>
      <c r="G215">
        <v>329572</v>
      </c>
      <c r="H215">
        <v>79951889</v>
      </c>
      <c r="I215">
        <v>329750</v>
      </c>
      <c r="J215" s="97">
        <v>79987689</v>
      </c>
    </row>
    <row r="216" spans="1:11" x14ac:dyDescent="0.25">
      <c r="A216">
        <v>80</v>
      </c>
      <c r="B216" t="s">
        <v>50</v>
      </c>
      <c r="C216" s="136">
        <v>46053</v>
      </c>
      <c r="D216">
        <v>51973</v>
      </c>
      <c r="E216">
        <v>174</v>
      </c>
      <c r="F216">
        <v>51400</v>
      </c>
      <c r="G216">
        <v>425431</v>
      </c>
      <c r="H216">
        <v>101356953</v>
      </c>
      <c r="I216">
        <v>425605</v>
      </c>
      <c r="J216" s="97">
        <v>101408353</v>
      </c>
    </row>
    <row r="217" spans="1:11" x14ac:dyDescent="0.25">
      <c r="A217">
        <v>80</v>
      </c>
      <c r="B217" t="s">
        <v>50</v>
      </c>
      <c r="C217" s="136">
        <v>46053</v>
      </c>
      <c r="D217">
        <v>51974</v>
      </c>
      <c r="E217">
        <v>217</v>
      </c>
      <c r="F217">
        <v>77200</v>
      </c>
      <c r="G217">
        <v>484092</v>
      </c>
      <c r="H217">
        <v>120970445</v>
      </c>
      <c r="I217">
        <v>484309</v>
      </c>
      <c r="J217" s="97">
        <v>121047645</v>
      </c>
    </row>
    <row r="218" spans="1:11" x14ac:dyDescent="0.25">
      <c r="A218">
        <v>80</v>
      </c>
      <c r="B218" t="s">
        <v>50</v>
      </c>
      <c r="C218" s="136">
        <v>46053</v>
      </c>
      <c r="D218">
        <v>51975</v>
      </c>
      <c r="E218">
        <v>194</v>
      </c>
      <c r="F218">
        <v>62000</v>
      </c>
      <c r="G218">
        <v>460385</v>
      </c>
      <c r="H218">
        <v>112426194</v>
      </c>
      <c r="I218">
        <v>460579</v>
      </c>
      <c r="J218" s="97">
        <v>112488194</v>
      </c>
    </row>
    <row r="219" spans="1:11" x14ac:dyDescent="0.25">
      <c r="A219">
        <v>80</v>
      </c>
      <c r="B219" t="s">
        <v>50</v>
      </c>
      <c r="C219" s="136">
        <v>46053</v>
      </c>
      <c r="D219">
        <v>51976</v>
      </c>
      <c r="E219">
        <v>275</v>
      </c>
      <c r="F219">
        <v>170650</v>
      </c>
      <c r="G219">
        <v>854791</v>
      </c>
      <c r="H219">
        <v>247205887</v>
      </c>
      <c r="I219">
        <v>855066</v>
      </c>
      <c r="J219" s="97">
        <v>247376537</v>
      </c>
    </row>
    <row r="220" spans="1:11" x14ac:dyDescent="0.25">
      <c r="A220">
        <v>82</v>
      </c>
      <c r="B220" t="s">
        <v>161</v>
      </c>
      <c r="C220" s="136">
        <v>46024</v>
      </c>
      <c r="D220">
        <v>9508</v>
      </c>
      <c r="E220">
        <v>80</v>
      </c>
      <c r="F220">
        <v>88000</v>
      </c>
      <c r="G220">
        <v>36547</v>
      </c>
      <c r="H220">
        <v>40201700</v>
      </c>
      <c r="I220">
        <v>37536</v>
      </c>
      <c r="J220" s="97">
        <v>41289600</v>
      </c>
      <c r="K220" s="167">
        <f>J220-H220-F220</f>
        <v>999900</v>
      </c>
    </row>
    <row r="221" spans="1:11" x14ac:dyDescent="0.25">
      <c r="A221">
        <v>82</v>
      </c>
      <c r="B221" t="s">
        <v>161</v>
      </c>
      <c r="C221" s="136">
        <v>46025</v>
      </c>
      <c r="D221">
        <v>9509</v>
      </c>
      <c r="E221">
        <v>91</v>
      </c>
      <c r="F221">
        <v>100100</v>
      </c>
      <c r="G221">
        <v>41256</v>
      </c>
      <c r="H221">
        <v>45381600</v>
      </c>
      <c r="I221">
        <v>42386</v>
      </c>
      <c r="J221" s="97">
        <v>46624600</v>
      </c>
      <c r="K221" s="167">
        <f t="shared" ref="K221:K245" si="0">J221-H221-F221</f>
        <v>1142900</v>
      </c>
    </row>
    <row r="222" spans="1:11" x14ac:dyDescent="0.25">
      <c r="A222">
        <v>82</v>
      </c>
      <c r="B222" t="s">
        <v>161</v>
      </c>
      <c r="C222" s="136">
        <v>46027</v>
      </c>
      <c r="D222">
        <v>9510</v>
      </c>
      <c r="E222">
        <v>76</v>
      </c>
      <c r="F222">
        <v>83600</v>
      </c>
      <c r="G222">
        <v>37475</v>
      </c>
      <c r="H222">
        <v>41222500</v>
      </c>
      <c r="I222">
        <v>38416</v>
      </c>
      <c r="J222" s="97">
        <v>42257600</v>
      </c>
      <c r="K222" s="167">
        <f t="shared" si="0"/>
        <v>951500</v>
      </c>
    </row>
    <row r="223" spans="1:11" x14ac:dyDescent="0.25">
      <c r="A223">
        <v>82</v>
      </c>
      <c r="B223" t="s">
        <v>161</v>
      </c>
      <c r="C223" s="136">
        <v>46028</v>
      </c>
      <c r="D223">
        <v>9511</v>
      </c>
      <c r="E223">
        <v>86</v>
      </c>
      <c r="F223">
        <v>94600</v>
      </c>
      <c r="G223">
        <v>38238</v>
      </c>
      <c r="H223">
        <v>42061800</v>
      </c>
      <c r="I223">
        <v>39237</v>
      </c>
      <c r="J223" s="97">
        <v>43160700</v>
      </c>
      <c r="K223" s="167">
        <f t="shared" si="0"/>
        <v>1004300</v>
      </c>
    </row>
    <row r="224" spans="1:11" x14ac:dyDescent="0.25">
      <c r="A224">
        <v>82</v>
      </c>
      <c r="B224" t="s">
        <v>161</v>
      </c>
      <c r="C224" s="136">
        <v>46029</v>
      </c>
      <c r="D224">
        <v>9512</v>
      </c>
      <c r="E224">
        <v>76</v>
      </c>
      <c r="F224">
        <v>83600</v>
      </c>
      <c r="G224">
        <v>39697</v>
      </c>
      <c r="H224">
        <v>43666700</v>
      </c>
      <c r="I224">
        <v>40750</v>
      </c>
      <c r="J224" s="97">
        <v>44825000</v>
      </c>
      <c r="K224" s="167">
        <f t="shared" si="0"/>
        <v>1074700</v>
      </c>
    </row>
    <row r="225" spans="1:11" x14ac:dyDescent="0.25">
      <c r="A225">
        <v>82</v>
      </c>
      <c r="B225" t="s">
        <v>161</v>
      </c>
      <c r="C225" s="136">
        <v>46030</v>
      </c>
      <c r="D225">
        <v>9513</v>
      </c>
      <c r="E225">
        <v>77</v>
      </c>
      <c r="F225">
        <v>84700</v>
      </c>
      <c r="G225">
        <v>38387</v>
      </c>
      <c r="H225">
        <v>42225700</v>
      </c>
      <c r="I225">
        <v>39451</v>
      </c>
      <c r="J225" s="97">
        <v>43396100</v>
      </c>
      <c r="K225" s="167">
        <f t="shared" si="0"/>
        <v>1085700</v>
      </c>
    </row>
    <row r="226" spans="1:11" x14ac:dyDescent="0.25">
      <c r="A226">
        <v>82</v>
      </c>
      <c r="B226" t="s">
        <v>161</v>
      </c>
      <c r="C226" s="136">
        <v>46031</v>
      </c>
      <c r="D226">
        <v>9514</v>
      </c>
      <c r="E226">
        <v>94</v>
      </c>
      <c r="F226">
        <v>103400</v>
      </c>
      <c r="G226">
        <v>39815</v>
      </c>
      <c r="H226">
        <v>43796500</v>
      </c>
      <c r="I226">
        <v>40911</v>
      </c>
      <c r="J226" s="97">
        <v>45002100</v>
      </c>
      <c r="K226" s="167">
        <f t="shared" si="0"/>
        <v>1102200</v>
      </c>
    </row>
    <row r="227" spans="1:11" x14ac:dyDescent="0.25">
      <c r="A227">
        <v>82</v>
      </c>
      <c r="B227" t="s">
        <v>161</v>
      </c>
      <c r="C227" s="136">
        <v>46032</v>
      </c>
      <c r="D227">
        <v>9515</v>
      </c>
      <c r="E227">
        <v>112</v>
      </c>
      <c r="F227">
        <v>123200</v>
      </c>
      <c r="G227">
        <v>43541</v>
      </c>
      <c r="H227">
        <v>47895100</v>
      </c>
      <c r="I227">
        <v>44797</v>
      </c>
      <c r="J227" s="97">
        <v>49276700</v>
      </c>
      <c r="K227" s="167">
        <f t="shared" si="0"/>
        <v>1258400</v>
      </c>
    </row>
    <row r="228" spans="1:11" x14ac:dyDescent="0.25">
      <c r="A228">
        <v>82</v>
      </c>
      <c r="B228" t="s">
        <v>161</v>
      </c>
      <c r="C228" s="136">
        <v>46034</v>
      </c>
      <c r="D228">
        <v>9516</v>
      </c>
      <c r="E228">
        <v>92</v>
      </c>
      <c r="F228">
        <v>101200</v>
      </c>
      <c r="G228">
        <v>37487</v>
      </c>
      <c r="H228">
        <v>41235700</v>
      </c>
      <c r="I228">
        <v>38520</v>
      </c>
      <c r="J228" s="97">
        <v>42372000</v>
      </c>
      <c r="K228" s="167">
        <f t="shared" si="0"/>
        <v>1035100</v>
      </c>
    </row>
    <row r="229" spans="1:11" x14ac:dyDescent="0.25">
      <c r="A229">
        <v>82</v>
      </c>
      <c r="B229" t="s">
        <v>161</v>
      </c>
      <c r="C229" s="136">
        <v>46035</v>
      </c>
      <c r="D229">
        <v>9517</v>
      </c>
      <c r="E229">
        <v>128</v>
      </c>
      <c r="F229">
        <v>140800</v>
      </c>
      <c r="G229">
        <v>39603</v>
      </c>
      <c r="H229">
        <v>43563300</v>
      </c>
      <c r="I229">
        <v>40752</v>
      </c>
      <c r="J229" s="97">
        <v>44827200</v>
      </c>
      <c r="K229" s="167">
        <f t="shared" si="0"/>
        <v>1123100</v>
      </c>
    </row>
    <row r="230" spans="1:11" x14ac:dyDescent="0.25">
      <c r="A230">
        <v>82</v>
      </c>
      <c r="B230" t="s">
        <v>161</v>
      </c>
      <c r="C230" s="136">
        <v>46036</v>
      </c>
      <c r="D230">
        <v>9518</v>
      </c>
      <c r="E230">
        <v>85</v>
      </c>
      <c r="F230">
        <v>93500</v>
      </c>
      <c r="G230">
        <v>41273</v>
      </c>
      <c r="H230">
        <v>45400300</v>
      </c>
      <c r="I230">
        <v>42428</v>
      </c>
      <c r="J230" s="97">
        <v>46670800</v>
      </c>
      <c r="K230" s="167">
        <f t="shared" si="0"/>
        <v>1177000</v>
      </c>
    </row>
    <row r="231" spans="1:11" x14ac:dyDescent="0.25">
      <c r="A231">
        <v>82</v>
      </c>
      <c r="B231" t="s">
        <v>161</v>
      </c>
      <c r="C231" s="136">
        <v>46037</v>
      </c>
      <c r="D231">
        <v>9519</v>
      </c>
      <c r="E231">
        <v>205</v>
      </c>
      <c r="F231">
        <v>225500</v>
      </c>
      <c r="G231">
        <v>37265</v>
      </c>
      <c r="H231">
        <v>40991500</v>
      </c>
      <c r="I231">
        <v>38478</v>
      </c>
      <c r="J231" s="97">
        <v>42325800</v>
      </c>
      <c r="K231" s="167">
        <f t="shared" si="0"/>
        <v>1108800</v>
      </c>
    </row>
    <row r="232" spans="1:11" x14ac:dyDescent="0.25">
      <c r="A232">
        <v>82</v>
      </c>
      <c r="B232" t="s">
        <v>161</v>
      </c>
      <c r="C232" s="136">
        <v>46038</v>
      </c>
      <c r="D232">
        <v>9520</v>
      </c>
      <c r="E232">
        <v>86</v>
      </c>
      <c r="F232">
        <v>94600</v>
      </c>
      <c r="G232">
        <v>41406</v>
      </c>
      <c r="H232">
        <v>45546600</v>
      </c>
      <c r="I232">
        <v>42553</v>
      </c>
      <c r="J232" s="97">
        <v>46808300</v>
      </c>
      <c r="K232" s="167">
        <f t="shared" si="0"/>
        <v>1167100</v>
      </c>
    </row>
    <row r="233" spans="1:11" x14ac:dyDescent="0.25">
      <c r="A233">
        <v>82</v>
      </c>
      <c r="B233" t="s">
        <v>161</v>
      </c>
      <c r="C233" s="136">
        <v>46039</v>
      </c>
      <c r="D233">
        <v>9521</v>
      </c>
      <c r="E233">
        <v>173</v>
      </c>
      <c r="F233">
        <v>190300</v>
      </c>
      <c r="G233">
        <v>45361</v>
      </c>
      <c r="H233">
        <v>49897100</v>
      </c>
      <c r="I233">
        <v>46673</v>
      </c>
      <c r="J233" s="97">
        <v>51340300</v>
      </c>
      <c r="K233" s="167">
        <f t="shared" si="0"/>
        <v>1252900</v>
      </c>
    </row>
    <row r="234" spans="1:11" x14ac:dyDescent="0.25">
      <c r="A234">
        <v>82</v>
      </c>
      <c r="B234" t="s">
        <v>161</v>
      </c>
      <c r="C234" s="136">
        <v>46041</v>
      </c>
      <c r="D234">
        <v>9522</v>
      </c>
      <c r="E234">
        <v>111</v>
      </c>
      <c r="F234">
        <v>122100</v>
      </c>
      <c r="G234">
        <v>37882</v>
      </c>
      <c r="H234">
        <v>41670200</v>
      </c>
      <c r="I234">
        <v>38878</v>
      </c>
      <c r="J234" s="97">
        <v>42765800</v>
      </c>
      <c r="K234" s="167">
        <f t="shared" si="0"/>
        <v>973500</v>
      </c>
    </row>
    <row r="235" spans="1:11" x14ac:dyDescent="0.25">
      <c r="A235">
        <v>82</v>
      </c>
      <c r="B235" t="s">
        <v>161</v>
      </c>
      <c r="C235" s="136">
        <v>46042</v>
      </c>
      <c r="D235">
        <v>9523</v>
      </c>
      <c r="E235">
        <v>94</v>
      </c>
      <c r="F235">
        <v>103400</v>
      </c>
      <c r="G235">
        <v>39716</v>
      </c>
      <c r="H235">
        <v>43687600</v>
      </c>
      <c r="I235">
        <v>40809</v>
      </c>
      <c r="J235" s="97">
        <v>44889900</v>
      </c>
      <c r="K235" s="167">
        <f t="shared" si="0"/>
        <v>1098900</v>
      </c>
    </row>
    <row r="236" spans="1:11" x14ac:dyDescent="0.25">
      <c r="A236">
        <v>82</v>
      </c>
      <c r="B236" t="s">
        <v>161</v>
      </c>
      <c r="C236" s="136">
        <v>46043</v>
      </c>
      <c r="D236">
        <v>9524</v>
      </c>
      <c r="E236">
        <v>116</v>
      </c>
      <c r="F236">
        <v>127600</v>
      </c>
      <c r="G236">
        <v>44342</v>
      </c>
      <c r="H236">
        <v>48776200</v>
      </c>
      <c r="I236">
        <v>45525</v>
      </c>
      <c r="J236" s="97">
        <v>50077500</v>
      </c>
      <c r="K236" s="167">
        <f t="shared" si="0"/>
        <v>1173700</v>
      </c>
    </row>
    <row r="237" spans="1:11" x14ac:dyDescent="0.25">
      <c r="A237">
        <v>82</v>
      </c>
      <c r="B237" t="s">
        <v>161</v>
      </c>
      <c r="C237" s="136">
        <v>46044</v>
      </c>
      <c r="D237">
        <v>9525</v>
      </c>
      <c r="E237">
        <v>160</v>
      </c>
      <c r="F237">
        <v>176000</v>
      </c>
      <c r="G237">
        <v>40565</v>
      </c>
      <c r="H237">
        <v>44621500</v>
      </c>
      <c r="I237">
        <v>41726</v>
      </c>
      <c r="J237" s="97">
        <v>45898600</v>
      </c>
      <c r="K237" s="167">
        <f t="shared" si="0"/>
        <v>1101100</v>
      </c>
    </row>
    <row r="238" spans="1:11" x14ac:dyDescent="0.25">
      <c r="A238">
        <v>82</v>
      </c>
      <c r="B238" t="s">
        <v>161</v>
      </c>
      <c r="C238" s="136">
        <v>46045</v>
      </c>
      <c r="D238">
        <v>9526</v>
      </c>
      <c r="E238">
        <v>132</v>
      </c>
      <c r="F238">
        <v>145200</v>
      </c>
      <c r="G238">
        <v>42596</v>
      </c>
      <c r="H238">
        <v>46855600</v>
      </c>
      <c r="I238">
        <v>43756</v>
      </c>
      <c r="J238" s="97">
        <v>48131600</v>
      </c>
      <c r="K238" s="167">
        <f t="shared" si="0"/>
        <v>1130800</v>
      </c>
    </row>
    <row r="239" spans="1:11" x14ac:dyDescent="0.25">
      <c r="A239">
        <v>82</v>
      </c>
      <c r="B239" t="s">
        <v>161</v>
      </c>
      <c r="C239" s="136">
        <v>46046</v>
      </c>
      <c r="D239">
        <v>9527</v>
      </c>
      <c r="E239">
        <v>192</v>
      </c>
      <c r="F239">
        <v>211200</v>
      </c>
      <c r="G239">
        <v>45879</v>
      </c>
      <c r="H239">
        <v>50466900</v>
      </c>
      <c r="I239">
        <v>47205</v>
      </c>
      <c r="J239" s="97">
        <v>51925500</v>
      </c>
      <c r="K239" s="167">
        <f t="shared" si="0"/>
        <v>1247400</v>
      </c>
    </row>
    <row r="240" spans="1:11" x14ac:dyDescent="0.25">
      <c r="A240">
        <v>82</v>
      </c>
      <c r="B240" t="s">
        <v>161</v>
      </c>
      <c r="C240" s="136">
        <v>46048</v>
      </c>
      <c r="D240">
        <v>9528</v>
      </c>
      <c r="E240">
        <v>137</v>
      </c>
      <c r="F240">
        <v>150700</v>
      </c>
      <c r="G240">
        <v>38750</v>
      </c>
      <c r="H240">
        <v>42625000</v>
      </c>
      <c r="I240">
        <v>39866</v>
      </c>
      <c r="J240" s="97">
        <v>43852600</v>
      </c>
      <c r="K240" s="167">
        <f t="shared" si="0"/>
        <v>1076900</v>
      </c>
    </row>
    <row r="241" spans="1:14" x14ac:dyDescent="0.25">
      <c r="A241">
        <v>82</v>
      </c>
      <c r="B241" t="s">
        <v>161</v>
      </c>
      <c r="C241" s="136">
        <v>46049</v>
      </c>
      <c r="D241">
        <v>9529</v>
      </c>
      <c r="E241">
        <v>141</v>
      </c>
      <c r="F241">
        <v>155100</v>
      </c>
      <c r="G241">
        <v>42408</v>
      </c>
      <c r="H241">
        <v>46648800</v>
      </c>
      <c r="I241">
        <v>43578</v>
      </c>
      <c r="J241" s="97">
        <v>47935800</v>
      </c>
      <c r="K241" s="167">
        <f t="shared" si="0"/>
        <v>1131900</v>
      </c>
    </row>
    <row r="242" spans="1:14" x14ac:dyDescent="0.25">
      <c r="A242">
        <v>82</v>
      </c>
      <c r="B242" t="s">
        <v>161</v>
      </c>
      <c r="C242" s="136">
        <v>46050</v>
      </c>
      <c r="D242">
        <v>9530</v>
      </c>
      <c r="E242">
        <v>142</v>
      </c>
      <c r="F242">
        <v>156200</v>
      </c>
      <c r="G242">
        <v>43026</v>
      </c>
      <c r="H242">
        <v>47328600</v>
      </c>
      <c r="I242">
        <v>44314</v>
      </c>
      <c r="J242" s="97">
        <v>48745400</v>
      </c>
      <c r="K242" s="167">
        <f t="shared" si="0"/>
        <v>1260600</v>
      </c>
    </row>
    <row r="243" spans="1:14" x14ac:dyDescent="0.25">
      <c r="A243">
        <v>82</v>
      </c>
      <c r="B243" t="s">
        <v>161</v>
      </c>
      <c r="C243" s="136">
        <v>46051</v>
      </c>
      <c r="D243">
        <v>9531</v>
      </c>
      <c r="E243">
        <v>163</v>
      </c>
      <c r="F243">
        <v>179300</v>
      </c>
      <c r="G243">
        <v>43030</v>
      </c>
      <c r="H243">
        <v>47333000</v>
      </c>
      <c r="I243">
        <v>44221</v>
      </c>
      <c r="J243" s="97">
        <v>48643100</v>
      </c>
      <c r="K243" s="167">
        <f t="shared" si="0"/>
        <v>1130800</v>
      </c>
    </row>
    <row r="244" spans="1:14" x14ac:dyDescent="0.25">
      <c r="A244">
        <v>82</v>
      </c>
      <c r="B244" t="s">
        <v>161</v>
      </c>
      <c r="C244" s="136">
        <v>46052</v>
      </c>
      <c r="D244">
        <v>9532</v>
      </c>
      <c r="E244">
        <v>156</v>
      </c>
      <c r="F244">
        <v>171600</v>
      </c>
      <c r="G244">
        <v>44567</v>
      </c>
      <c r="H244">
        <v>49023700</v>
      </c>
      <c r="I244">
        <v>45774</v>
      </c>
      <c r="J244" s="97">
        <v>50351400</v>
      </c>
      <c r="K244" s="167">
        <f t="shared" si="0"/>
        <v>1156100</v>
      </c>
    </row>
    <row r="245" spans="1:14" x14ac:dyDescent="0.25">
      <c r="A245">
        <v>82</v>
      </c>
      <c r="B245" t="s">
        <v>161</v>
      </c>
      <c r="C245" s="136">
        <v>46053</v>
      </c>
      <c r="D245">
        <v>9533</v>
      </c>
      <c r="E245">
        <v>150</v>
      </c>
      <c r="F245">
        <v>165000</v>
      </c>
      <c r="G245">
        <v>49791</v>
      </c>
      <c r="H245">
        <v>54770100</v>
      </c>
      <c r="I245">
        <v>51061</v>
      </c>
      <c r="J245" s="97">
        <v>56167100</v>
      </c>
      <c r="K245" s="167">
        <f t="shared" si="0"/>
        <v>1232000</v>
      </c>
    </row>
    <row r="246" spans="1:14" x14ac:dyDescent="0.25">
      <c r="A246">
        <v>79</v>
      </c>
      <c r="B246" t="s">
        <v>195</v>
      </c>
      <c r="C246" s="136">
        <v>46024</v>
      </c>
      <c r="D246">
        <v>4173</v>
      </c>
      <c r="E246">
        <v>0</v>
      </c>
      <c r="F246">
        <v>0</v>
      </c>
      <c r="G246">
        <v>258</v>
      </c>
      <c r="H246">
        <v>88537</v>
      </c>
      <c r="I246">
        <v>258</v>
      </c>
      <c r="J246" s="97">
        <v>88537</v>
      </c>
    </row>
    <row r="247" spans="1:14" x14ac:dyDescent="0.25">
      <c r="A247">
        <v>79</v>
      </c>
      <c r="B247" t="s">
        <v>195</v>
      </c>
      <c r="C247" s="136">
        <v>46024</v>
      </c>
      <c r="D247">
        <v>4174</v>
      </c>
      <c r="E247">
        <v>2</v>
      </c>
      <c r="F247">
        <v>600</v>
      </c>
      <c r="G247">
        <v>463</v>
      </c>
      <c r="H247">
        <v>134175</v>
      </c>
      <c r="I247">
        <v>465</v>
      </c>
      <c r="J247" s="97">
        <v>134775</v>
      </c>
    </row>
    <row r="248" spans="1:14" x14ac:dyDescent="0.25">
      <c r="A248">
        <v>79</v>
      </c>
      <c r="B248" t="s">
        <v>195</v>
      </c>
      <c r="C248" s="136">
        <v>46024</v>
      </c>
      <c r="D248">
        <v>4175</v>
      </c>
      <c r="E248">
        <v>2</v>
      </c>
      <c r="F248">
        <v>200</v>
      </c>
      <c r="G248">
        <v>655</v>
      </c>
      <c r="H248">
        <v>218350</v>
      </c>
      <c r="I248">
        <v>657</v>
      </c>
      <c r="J248" s="97">
        <v>218550</v>
      </c>
    </row>
    <row r="249" spans="1:14" x14ac:dyDescent="0.25">
      <c r="A249">
        <v>79</v>
      </c>
      <c r="B249" t="s">
        <v>195</v>
      </c>
      <c r="C249" s="136">
        <v>46024</v>
      </c>
      <c r="D249">
        <v>4176</v>
      </c>
      <c r="E249">
        <v>4</v>
      </c>
      <c r="F249">
        <v>1400</v>
      </c>
      <c r="G249">
        <v>610</v>
      </c>
      <c r="H249">
        <v>187940</v>
      </c>
      <c r="I249">
        <v>614</v>
      </c>
      <c r="J249" s="97">
        <v>189340</v>
      </c>
    </row>
    <row r="250" spans="1:14" x14ac:dyDescent="0.25">
      <c r="A250">
        <v>79</v>
      </c>
      <c r="B250" t="s">
        <v>195</v>
      </c>
      <c r="C250" s="136">
        <v>46024</v>
      </c>
      <c r="D250">
        <v>4177</v>
      </c>
      <c r="E250">
        <v>0</v>
      </c>
      <c r="F250">
        <v>0</v>
      </c>
      <c r="G250">
        <v>804</v>
      </c>
      <c r="H250">
        <v>455545</v>
      </c>
      <c r="I250">
        <v>804</v>
      </c>
      <c r="J250" s="97">
        <v>455545</v>
      </c>
    </row>
    <row r="251" spans="1:14" x14ac:dyDescent="0.25">
      <c r="A251">
        <v>79</v>
      </c>
      <c r="B251" t="s">
        <v>195</v>
      </c>
      <c r="C251" s="136">
        <v>46025</v>
      </c>
      <c r="D251">
        <v>4178</v>
      </c>
      <c r="E251">
        <v>8</v>
      </c>
      <c r="F251">
        <v>950</v>
      </c>
      <c r="G251">
        <v>199</v>
      </c>
      <c r="H251">
        <v>62340</v>
      </c>
      <c r="I251">
        <v>207</v>
      </c>
      <c r="J251" s="97">
        <v>63290</v>
      </c>
    </row>
    <row r="252" spans="1:14" x14ac:dyDescent="0.25">
      <c r="A252">
        <v>79</v>
      </c>
      <c r="B252" t="s">
        <v>195</v>
      </c>
      <c r="C252" s="136">
        <v>46025</v>
      </c>
      <c r="D252">
        <v>4179</v>
      </c>
      <c r="E252">
        <v>0</v>
      </c>
      <c r="F252">
        <v>0</v>
      </c>
      <c r="G252">
        <v>207</v>
      </c>
      <c r="H252">
        <v>66250</v>
      </c>
      <c r="I252">
        <v>207</v>
      </c>
      <c r="J252" s="97">
        <v>66250</v>
      </c>
    </row>
    <row r="253" spans="1:14" x14ac:dyDescent="0.25">
      <c r="A253">
        <v>79</v>
      </c>
      <c r="B253" t="s">
        <v>195</v>
      </c>
      <c r="C253" s="136">
        <v>46025</v>
      </c>
      <c r="D253">
        <v>4180</v>
      </c>
      <c r="E253">
        <v>1</v>
      </c>
      <c r="F253">
        <v>100</v>
      </c>
      <c r="G253">
        <v>894</v>
      </c>
      <c r="H253">
        <v>432360</v>
      </c>
      <c r="I253">
        <v>895</v>
      </c>
      <c r="J253" s="97">
        <v>432460</v>
      </c>
    </row>
    <row r="254" spans="1:14" x14ac:dyDescent="0.25">
      <c r="A254">
        <v>79</v>
      </c>
      <c r="B254" t="s">
        <v>195</v>
      </c>
      <c r="C254" s="136">
        <v>46025</v>
      </c>
      <c r="D254">
        <v>4181</v>
      </c>
      <c r="E254">
        <v>4</v>
      </c>
      <c r="F254">
        <v>3105</v>
      </c>
      <c r="G254">
        <v>443</v>
      </c>
      <c r="H254">
        <v>130430</v>
      </c>
      <c r="I254">
        <v>447</v>
      </c>
      <c r="J254" s="97">
        <v>133535</v>
      </c>
    </row>
    <row r="255" spans="1:14" x14ac:dyDescent="0.25">
      <c r="A255">
        <v>79</v>
      </c>
      <c r="B255" t="s">
        <v>195</v>
      </c>
      <c r="C255" s="136">
        <v>46025</v>
      </c>
      <c r="D255">
        <v>4182</v>
      </c>
      <c r="E255">
        <v>0</v>
      </c>
      <c r="F255">
        <v>0</v>
      </c>
      <c r="G255">
        <v>278</v>
      </c>
      <c r="H255">
        <v>88770</v>
      </c>
      <c r="I255">
        <v>278</v>
      </c>
      <c r="J255" s="97">
        <v>88770</v>
      </c>
    </row>
    <row r="256" spans="1:14" x14ac:dyDescent="0.25">
      <c r="A256">
        <v>79</v>
      </c>
      <c r="B256" t="s">
        <v>195</v>
      </c>
      <c r="C256" s="136">
        <v>46027</v>
      </c>
      <c r="D256">
        <v>4183</v>
      </c>
      <c r="E256">
        <v>7</v>
      </c>
      <c r="F256">
        <v>1600</v>
      </c>
      <c r="G256">
        <v>182</v>
      </c>
      <c r="H256">
        <v>54895</v>
      </c>
      <c r="I256">
        <v>189</v>
      </c>
      <c r="J256" s="97">
        <v>56495</v>
      </c>
      <c r="L256">
        <v>49944</v>
      </c>
      <c r="M256">
        <v>50079</v>
      </c>
      <c r="N256">
        <f>M256-L256</f>
        <v>135</v>
      </c>
    </row>
    <row r="257" spans="1:19" x14ac:dyDescent="0.25">
      <c r="A257">
        <v>79</v>
      </c>
      <c r="B257" t="s">
        <v>195</v>
      </c>
      <c r="C257" s="136">
        <v>46027</v>
      </c>
      <c r="D257">
        <v>4184</v>
      </c>
      <c r="E257">
        <v>13</v>
      </c>
      <c r="F257">
        <v>1300</v>
      </c>
      <c r="G257">
        <v>347</v>
      </c>
      <c r="H257">
        <v>198890</v>
      </c>
      <c r="I257">
        <v>360</v>
      </c>
      <c r="J257" s="97">
        <v>200190</v>
      </c>
      <c r="L257">
        <v>2271</v>
      </c>
      <c r="M257">
        <v>2350</v>
      </c>
      <c r="N257">
        <f>M257-L257</f>
        <v>79</v>
      </c>
      <c r="R257">
        <v>2271</v>
      </c>
      <c r="S257">
        <v>2405</v>
      </c>
    </row>
    <row r="258" spans="1:19" x14ac:dyDescent="0.25">
      <c r="A258">
        <v>79</v>
      </c>
      <c r="B258" t="s">
        <v>195</v>
      </c>
      <c r="C258" s="136">
        <v>46027</v>
      </c>
      <c r="D258">
        <v>4185</v>
      </c>
      <c r="E258">
        <v>1</v>
      </c>
      <c r="F258">
        <v>100</v>
      </c>
      <c r="G258">
        <v>865</v>
      </c>
      <c r="H258">
        <v>452655</v>
      </c>
      <c r="I258">
        <v>866</v>
      </c>
      <c r="J258" s="97">
        <v>452755</v>
      </c>
    </row>
    <row r="259" spans="1:19" x14ac:dyDescent="0.25">
      <c r="A259">
        <v>79</v>
      </c>
      <c r="B259" t="s">
        <v>195</v>
      </c>
      <c r="C259" s="136">
        <v>46027</v>
      </c>
      <c r="D259">
        <v>4186</v>
      </c>
      <c r="E259">
        <v>5</v>
      </c>
      <c r="F259">
        <v>500</v>
      </c>
      <c r="G259">
        <v>837</v>
      </c>
      <c r="H259">
        <v>629450</v>
      </c>
      <c r="I259">
        <v>842</v>
      </c>
      <c r="J259" s="97">
        <v>629950</v>
      </c>
    </row>
    <row r="260" spans="1:19" x14ac:dyDescent="0.25">
      <c r="A260">
        <v>79</v>
      </c>
      <c r="B260" t="s">
        <v>195</v>
      </c>
      <c r="C260" s="136">
        <v>46027</v>
      </c>
      <c r="D260">
        <v>4187</v>
      </c>
      <c r="E260">
        <v>8</v>
      </c>
      <c r="F260">
        <v>2300</v>
      </c>
      <c r="G260">
        <v>1111</v>
      </c>
      <c r="H260">
        <v>868633</v>
      </c>
      <c r="I260">
        <v>1119</v>
      </c>
      <c r="J260" s="97">
        <v>870933</v>
      </c>
    </row>
    <row r="261" spans="1:19" x14ac:dyDescent="0.25">
      <c r="A261">
        <v>79</v>
      </c>
      <c r="B261" t="s">
        <v>195</v>
      </c>
      <c r="C261" s="136">
        <v>46028</v>
      </c>
      <c r="D261">
        <v>4188</v>
      </c>
      <c r="E261">
        <v>4</v>
      </c>
      <c r="F261">
        <v>500</v>
      </c>
      <c r="G261">
        <v>336</v>
      </c>
      <c r="H261">
        <v>106025</v>
      </c>
      <c r="I261">
        <v>340</v>
      </c>
      <c r="J261" s="97">
        <v>106525</v>
      </c>
    </row>
    <row r="262" spans="1:19" x14ac:dyDescent="0.25">
      <c r="A262">
        <v>79</v>
      </c>
      <c r="B262" t="s">
        <v>195</v>
      </c>
      <c r="C262" s="136">
        <v>46028</v>
      </c>
      <c r="D262">
        <v>4189</v>
      </c>
      <c r="E262">
        <v>1</v>
      </c>
      <c r="F262">
        <v>100</v>
      </c>
      <c r="G262">
        <v>522</v>
      </c>
      <c r="H262">
        <v>193085</v>
      </c>
      <c r="I262">
        <v>523</v>
      </c>
      <c r="J262" s="97">
        <v>193185</v>
      </c>
    </row>
    <row r="263" spans="1:19" x14ac:dyDescent="0.25">
      <c r="A263">
        <v>79</v>
      </c>
      <c r="B263" t="s">
        <v>195</v>
      </c>
      <c r="C263" s="136">
        <v>46028</v>
      </c>
      <c r="D263">
        <v>4190</v>
      </c>
      <c r="E263">
        <v>3</v>
      </c>
      <c r="F263">
        <v>2100</v>
      </c>
      <c r="G263">
        <v>1341</v>
      </c>
      <c r="H263">
        <v>825607</v>
      </c>
      <c r="I263">
        <v>1344</v>
      </c>
      <c r="J263" s="97">
        <v>827707</v>
      </c>
    </row>
    <row r="264" spans="1:19" x14ac:dyDescent="0.25">
      <c r="A264">
        <v>79</v>
      </c>
      <c r="B264" t="s">
        <v>195</v>
      </c>
      <c r="C264" s="136">
        <v>46028</v>
      </c>
      <c r="D264">
        <v>4191</v>
      </c>
      <c r="E264">
        <v>7</v>
      </c>
      <c r="F264">
        <v>850</v>
      </c>
      <c r="G264">
        <v>1412</v>
      </c>
      <c r="H264">
        <v>994626</v>
      </c>
      <c r="I264">
        <v>1419</v>
      </c>
      <c r="J264" s="97">
        <v>995476</v>
      </c>
    </row>
    <row r="265" spans="1:19" x14ac:dyDescent="0.25">
      <c r="A265">
        <v>79</v>
      </c>
      <c r="B265" t="s">
        <v>195</v>
      </c>
      <c r="C265" s="136">
        <v>46028</v>
      </c>
      <c r="D265">
        <v>4192</v>
      </c>
      <c r="E265">
        <v>1</v>
      </c>
      <c r="F265">
        <v>100</v>
      </c>
      <c r="G265">
        <v>833</v>
      </c>
      <c r="H265">
        <v>468839</v>
      </c>
      <c r="I265">
        <v>834</v>
      </c>
      <c r="J265" s="97">
        <v>468939</v>
      </c>
    </row>
    <row r="266" spans="1:19" x14ac:dyDescent="0.25">
      <c r="A266">
        <v>79</v>
      </c>
      <c r="B266" t="s">
        <v>195</v>
      </c>
      <c r="C266" s="136">
        <v>46029</v>
      </c>
      <c r="D266">
        <v>4193</v>
      </c>
      <c r="E266">
        <v>35</v>
      </c>
      <c r="F266">
        <v>3500</v>
      </c>
      <c r="G266">
        <v>575</v>
      </c>
      <c r="H266">
        <v>472200</v>
      </c>
      <c r="I266">
        <v>610</v>
      </c>
      <c r="J266" s="97">
        <v>475700</v>
      </c>
    </row>
    <row r="267" spans="1:19" x14ac:dyDescent="0.25">
      <c r="A267">
        <v>79</v>
      </c>
      <c r="B267" t="s">
        <v>195</v>
      </c>
      <c r="C267" s="136">
        <v>46029</v>
      </c>
      <c r="D267">
        <v>4194</v>
      </c>
      <c r="E267">
        <v>1</v>
      </c>
      <c r="F267">
        <v>100</v>
      </c>
      <c r="G267">
        <v>534</v>
      </c>
      <c r="H267">
        <v>121215</v>
      </c>
      <c r="I267">
        <v>535</v>
      </c>
      <c r="J267" s="97">
        <v>121315</v>
      </c>
    </row>
    <row r="268" spans="1:19" x14ac:dyDescent="0.25">
      <c r="A268">
        <v>79</v>
      </c>
      <c r="B268" t="s">
        <v>195</v>
      </c>
      <c r="C268" s="136">
        <v>46029</v>
      </c>
      <c r="D268">
        <v>4195</v>
      </c>
      <c r="E268">
        <v>47</v>
      </c>
      <c r="F268">
        <v>5300</v>
      </c>
      <c r="G268">
        <v>761</v>
      </c>
      <c r="H268">
        <v>181200</v>
      </c>
      <c r="I268">
        <v>808</v>
      </c>
      <c r="J268" s="97">
        <v>186500</v>
      </c>
    </row>
    <row r="269" spans="1:19" x14ac:dyDescent="0.25">
      <c r="A269">
        <v>79</v>
      </c>
      <c r="B269" t="s">
        <v>195</v>
      </c>
      <c r="C269" s="136">
        <v>46029</v>
      </c>
      <c r="D269">
        <v>4196</v>
      </c>
      <c r="E269">
        <v>8</v>
      </c>
      <c r="F269">
        <v>900</v>
      </c>
      <c r="G269">
        <v>531</v>
      </c>
      <c r="H269">
        <v>176725</v>
      </c>
      <c r="I269">
        <v>539</v>
      </c>
      <c r="J269" s="97">
        <v>177625</v>
      </c>
    </row>
    <row r="270" spans="1:19" x14ac:dyDescent="0.25">
      <c r="A270">
        <v>79</v>
      </c>
      <c r="B270" t="s">
        <v>195</v>
      </c>
      <c r="C270" s="136">
        <v>46029</v>
      </c>
      <c r="D270">
        <v>4197</v>
      </c>
      <c r="E270">
        <v>9</v>
      </c>
      <c r="F270">
        <v>3100</v>
      </c>
      <c r="G270">
        <v>758</v>
      </c>
      <c r="H270">
        <v>230755</v>
      </c>
      <c r="I270">
        <v>767</v>
      </c>
      <c r="J270" s="97">
        <v>233855</v>
      </c>
    </row>
    <row r="271" spans="1:19" x14ac:dyDescent="0.25">
      <c r="A271">
        <v>79</v>
      </c>
      <c r="B271" t="s">
        <v>195</v>
      </c>
      <c r="C271" s="136">
        <v>46030</v>
      </c>
      <c r="D271">
        <v>4198</v>
      </c>
      <c r="E271">
        <v>59</v>
      </c>
      <c r="F271">
        <v>7700</v>
      </c>
      <c r="G271">
        <v>338</v>
      </c>
      <c r="H271">
        <v>118499</v>
      </c>
      <c r="I271">
        <v>397</v>
      </c>
      <c r="J271" s="97">
        <v>126199</v>
      </c>
    </row>
    <row r="272" spans="1:19" x14ac:dyDescent="0.25">
      <c r="A272">
        <v>79</v>
      </c>
      <c r="B272" t="s">
        <v>195</v>
      </c>
      <c r="C272" s="136">
        <v>46030</v>
      </c>
      <c r="D272">
        <v>4199</v>
      </c>
      <c r="E272">
        <v>6</v>
      </c>
      <c r="F272">
        <v>1777</v>
      </c>
      <c r="G272">
        <v>465</v>
      </c>
      <c r="H272">
        <v>154400</v>
      </c>
      <c r="I272">
        <v>471</v>
      </c>
      <c r="J272" s="97">
        <v>156177</v>
      </c>
    </row>
    <row r="273" spans="1:10" x14ac:dyDescent="0.25">
      <c r="A273">
        <v>79</v>
      </c>
      <c r="B273" t="s">
        <v>195</v>
      </c>
      <c r="C273" s="136">
        <v>46030</v>
      </c>
      <c r="D273">
        <v>4200</v>
      </c>
      <c r="E273">
        <v>34</v>
      </c>
      <c r="F273">
        <v>12700</v>
      </c>
      <c r="G273">
        <v>991</v>
      </c>
      <c r="H273">
        <v>334545</v>
      </c>
      <c r="I273">
        <v>1025</v>
      </c>
      <c r="J273" s="97">
        <v>347245</v>
      </c>
    </row>
    <row r="274" spans="1:10" x14ac:dyDescent="0.25">
      <c r="A274">
        <v>79</v>
      </c>
      <c r="B274" t="s">
        <v>195</v>
      </c>
      <c r="C274" s="136">
        <v>46030</v>
      </c>
      <c r="D274">
        <v>4201</v>
      </c>
      <c r="E274">
        <v>52</v>
      </c>
      <c r="F274">
        <v>6900</v>
      </c>
      <c r="G274">
        <v>695</v>
      </c>
      <c r="H274">
        <v>249660</v>
      </c>
      <c r="I274">
        <v>747</v>
      </c>
      <c r="J274" s="97">
        <v>256560</v>
      </c>
    </row>
    <row r="275" spans="1:10" x14ac:dyDescent="0.25">
      <c r="A275">
        <v>79</v>
      </c>
      <c r="B275" t="s">
        <v>195</v>
      </c>
      <c r="C275" s="136">
        <v>46030</v>
      </c>
      <c r="D275">
        <v>4202</v>
      </c>
      <c r="E275">
        <v>16</v>
      </c>
      <c r="F275">
        <v>2400</v>
      </c>
      <c r="G275">
        <v>595</v>
      </c>
      <c r="H275">
        <v>257450</v>
      </c>
      <c r="I275">
        <v>611</v>
      </c>
      <c r="J275" s="97">
        <v>259850</v>
      </c>
    </row>
    <row r="276" spans="1:10" x14ac:dyDescent="0.25">
      <c r="A276">
        <v>79</v>
      </c>
      <c r="B276" t="s">
        <v>195</v>
      </c>
      <c r="C276" s="136">
        <v>46031</v>
      </c>
      <c r="D276">
        <v>4203</v>
      </c>
      <c r="E276">
        <v>24</v>
      </c>
      <c r="F276">
        <v>2400</v>
      </c>
      <c r="G276">
        <v>584</v>
      </c>
      <c r="H276">
        <v>201200</v>
      </c>
      <c r="I276">
        <v>608</v>
      </c>
      <c r="J276" s="97">
        <v>203600</v>
      </c>
    </row>
    <row r="277" spans="1:10" x14ac:dyDescent="0.25">
      <c r="A277">
        <v>79</v>
      </c>
      <c r="B277" t="s">
        <v>195</v>
      </c>
      <c r="C277" s="136">
        <v>46031</v>
      </c>
      <c r="D277">
        <v>4204</v>
      </c>
      <c r="E277">
        <v>35</v>
      </c>
      <c r="F277">
        <v>7200</v>
      </c>
      <c r="G277">
        <v>511</v>
      </c>
      <c r="H277">
        <v>172525</v>
      </c>
      <c r="I277">
        <v>546</v>
      </c>
      <c r="J277" s="97">
        <v>179725</v>
      </c>
    </row>
    <row r="278" spans="1:10" x14ac:dyDescent="0.25">
      <c r="A278">
        <v>79</v>
      </c>
      <c r="B278" t="s">
        <v>195</v>
      </c>
      <c r="C278" s="136">
        <v>46031</v>
      </c>
      <c r="D278">
        <v>4205</v>
      </c>
      <c r="E278">
        <v>20</v>
      </c>
      <c r="F278">
        <v>2000</v>
      </c>
      <c r="G278">
        <v>1005</v>
      </c>
      <c r="H278">
        <v>524970</v>
      </c>
      <c r="I278">
        <v>1025</v>
      </c>
      <c r="J278" s="97">
        <v>526970</v>
      </c>
    </row>
    <row r="279" spans="1:10" x14ac:dyDescent="0.25">
      <c r="A279">
        <v>79</v>
      </c>
      <c r="B279" t="s">
        <v>195</v>
      </c>
      <c r="C279" s="136">
        <v>46031</v>
      </c>
      <c r="D279">
        <v>4206</v>
      </c>
      <c r="E279">
        <v>34</v>
      </c>
      <c r="F279">
        <v>3800</v>
      </c>
      <c r="G279">
        <v>997</v>
      </c>
      <c r="H279">
        <v>569825</v>
      </c>
      <c r="I279">
        <v>1031</v>
      </c>
      <c r="J279" s="97">
        <v>573625</v>
      </c>
    </row>
    <row r="280" spans="1:10" x14ac:dyDescent="0.25">
      <c r="A280">
        <v>79</v>
      </c>
      <c r="B280" t="s">
        <v>195</v>
      </c>
      <c r="C280" s="136">
        <v>46031</v>
      </c>
      <c r="D280">
        <v>4207</v>
      </c>
      <c r="E280">
        <v>9</v>
      </c>
      <c r="F280">
        <v>5100</v>
      </c>
      <c r="G280">
        <v>1369</v>
      </c>
      <c r="H280">
        <v>1349185</v>
      </c>
      <c r="I280">
        <v>1378</v>
      </c>
      <c r="J280" s="97">
        <v>1354285</v>
      </c>
    </row>
    <row r="281" spans="1:10" x14ac:dyDescent="0.25">
      <c r="A281">
        <v>79</v>
      </c>
      <c r="B281" t="s">
        <v>195</v>
      </c>
      <c r="C281" s="136">
        <v>46032</v>
      </c>
      <c r="D281">
        <v>4208</v>
      </c>
      <c r="E281">
        <v>26</v>
      </c>
      <c r="F281">
        <v>14700</v>
      </c>
      <c r="G281">
        <v>775</v>
      </c>
      <c r="H281">
        <v>729150</v>
      </c>
      <c r="I281">
        <v>801</v>
      </c>
      <c r="J281" s="97">
        <v>743850</v>
      </c>
    </row>
    <row r="282" spans="1:10" x14ac:dyDescent="0.25">
      <c r="A282">
        <v>79</v>
      </c>
      <c r="B282" t="s">
        <v>195</v>
      </c>
      <c r="C282" s="136">
        <v>46032</v>
      </c>
      <c r="D282">
        <v>4209</v>
      </c>
      <c r="E282">
        <v>21</v>
      </c>
      <c r="F282">
        <v>2100</v>
      </c>
      <c r="G282">
        <v>325</v>
      </c>
      <c r="H282">
        <v>138500</v>
      </c>
      <c r="I282">
        <v>346</v>
      </c>
      <c r="J282" s="97">
        <v>140600</v>
      </c>
    </row>
    <row r="283" spans="1:10" x14ac:dyDescent="0.25">
      <c r="A283">
        <v>79</v>
      </c>
      <c r="B283" t="s">
        <v>195</v>
      </c>
      <c r="C283" s="136">
        <v>46032</v>
      </c>
      <c r="D283">
        <v>4210</v>
      </c>
      <c r="E283">
        <v>3</v>
      </c>
      <c r="F283">
        <v>2400</v>
      </c>
      <c r="G283">
        <v>748</v>
      </c>
      <c r="H283">
        <v>195228</v>
      </c>
      <c r="I283">
        <v>751</v>
      </c>
      <c r="J283" s="97">
        <v>197628</v>
      </c>
    </row>
    <row r="284" spans="1:10" x14ac:dyDescent="0.25">
      <c r="A284">
        <v>79</v>
      </c>
      <c r="B284" t="s">
        <v>195</v>
      </c>
      <c r="C284" s="136">
        <v>46032</v>
      </c>
      <c r="D284">
        <v>4211</v>
      </c>
      <c r="E284">
        <v>8</v>
      </c>
      <c r="F284">
        <v>3650</v>
      </c>
      <c r="G284">
        <v>529</v>
      </c>
      <c r="H284">
        <v>215700</v>
      </c>
      <c r="I284">
        <v>537</v>
      </c>
      <c r="J284" s="97">
        <v>219350</v>
      </c>
    </row>
    <row r="285" spans="1:10" x14ac:dyDescent="0.25">
      <c r="A285">
        <v>79</v>
      </c>
      <c r="B285" t="s">
        <v>195</v>
      </c>
      <c r="C285" s="136">
        <v>46032</v>
      </c>
      <c r="D285">
        <v>4212</v>
      </c>
      <c r="E285">
        <v>4</v>
      </c>
      <c r="F285">
        <v>1950</v>
      </c>
      <c r="G285">
        <v>355</v>
      </c>
      <c r="H285">
        <v>150065</v>
      </c>
      <c r="I285">
        <v>359</v>
      </c>
      <c r="J285" s="97">
        <v>152015</v>
      </c>
    </row>
    <row r="286" spans="1:10" x14ac:dyDescent="0.25">
      <c r="A286">
        <v>79</v>
      </c>
      <c r="B286" t="s">
        <v>195</v>
      </c>
      <c r="C286" s="136">
        <v>46034</v>
      </c>
      <c r="D286">
        <v>4213</v>
      </c>
      <c r="E286">
        <v>16</v>
      </c>
      <c r="F286">
        <v>6226</v>
      </c>
      <c r="G286">
        <v>291</v>
      </c>
      <c r="H286">
        <v>91857</v>
      </c>
      <c r="I286">
        <v>307</v>
      </c>
      <c r="J286" s="97">
        <v>98083</v>
      </c>
    </row>
    <row r="287" spans="1:10" x14ac:dyDescent="0.25">
      <c r="A287">
        <v>79</v>
      </c>
      <c r="B287" t="s">
        <v>195</v>
      </c>
      <c r="C287" s="136">
        <v>46034</v>
      </c>
      <c r="D287">
        <v>4214</v>
      </c>
      <c r="E287">
        <v>11</v>
      </c>
      <c r="F287">
        <v>1600</v>
      </c>
      <c r="G287">
        <v>550</v>
      </c>
      <c r="H287">
        <v>189755</v>
      </c>
      <c r="I287">
        <v>561</v>
      </c>
      <c r="J287" s="97">
        <v>191355</v>
      </c>
    </row>
    <row r="288" spans="1:10" x14ac:dyDescent="0.25">
      <c r="A288">
        <v>79</v>
      </c>
      <c r="B288" t="s">
        <v>195</v>
      </c>
      <c r="C288" s="136">
        <v>46034</v>
      </c>
      <c r="D288">
        <v>4215</v>
      </c>
      <c r="E288">
        <v>19</v>
      </c>
      <c r="F288">
        <v>2900</v>
      </c>
      <c r="G288">
        <v>1753</v>
      </c>
      <c r="H288">
        <v>1097420</v>
      </c>
      <c r="I288">
        <v>1772</v>
      </c>
      <c r="J288" s="97">
        <v>1100320</v>
      </c>
    </row>
    <row r="289" spans="1:10" x14ac:dyDescent="0.25">
      <c r="A289">
        <v>79</v>
      </c>
      <c r="B289" t="s">
        <v>195</v>
      </c>
      <c r="C289" s="136">
        <v>46034</v>
      </c>
      <c r="D289">
        <v>4216</v>
      </c>
      <c r="E289">
        <v>31</v>
      </c>
      <c r="F289">
        <v>4500</v>
      </c>
      <c r="G289">
        <v>857</v>
      </c>
      <c r="H289">
        <v>597785</v>
      </c>
      <c r="I289">
        <v>888</v>
      </c>
      <c r="J289" s="97">
        <v>602285</v>
      </c>
    </row>
    <row r="290" spans="1:10" x14ac:dyDescent="0.25">
      <c r="A290">
        <v>79</v>
      </c>
      <c r="B290" t="s">
        <v>195</v>
      </c>
      <c r="C290" s="136">
        <v>46034</v>
      </c>
      <c r="D290">
        <v>4217</v>
      </c>
      <c r="E290">
        <v>10</v>
      </c>
      <c r="F290">
        <v>6200</v>
      </c>
      <c r="G290">
        <v>1365</v>
      </c>
      <c r="H290">
        <v>837633</v>
      </c>
      <c r="I290">
        <v>1375</v>
      </c>
      <c r="J290" s="97">
        <v>843833</v>
      </c>
    </row>
    <row r="291" spans="1:10" x14ac:dyDescent="0.25">
      <c r="A291">
        <v>79</v>
      </c>
      <c r="B291" t="s">
        <v>195</v>
      </c>
      <c r="C291" s="136">
        <v>46035</v>
      </c>
      <c r="D291">
        <v>4218</v>
      </c>
      <c r="E291">
        <v>17</v>
      </c>
      <c r="F291">
        <v>3000</v>
      </c>
      <c r="G291">
        <v>1160</v>
      </c>
      <c r="H291">
        <v>1294840</v>
      </c>
      <c r="I291">
        <v>1177</v>
      </c>
      <c r="J291" s="97">
        <v>1297840</v>
      </c>
    </row>
    <row r="292" spans="1:10" x14ac:dyDescent="0.25">
      <c r="A292">
        <v>79</v>
      </c>
      <c r="B292" t="s">
        <v>195</v>
      </c>
      <c r="C292" s="136">
        <v>46035</v>
      </c>
      <c r="D292">
        <v>4219</v>
      </c>
      <c r="E292">
        <v>1</v>
      </c>
      <c r="F292">
        <v>100</v>
      </c>
      <c r="G292">
        <v>601</v>
      </c>
      <c r="H292">
        <v>170075</v>
      </c>
      <c r="I292">
        <v>602</v>
      </c>
      <c r="J292" s="97">
        <v>170175</v>
      </c>
    </row>
    <row r="293" spans="1:10" x14ac:dyDescent="0.25">
      <c r="A293">
        <v>79</v>
      </c>
      <c r="B293" t="s">
        <v>195</v>
      </c>
      <c r="C293" s="136">
        <v>46035</v>
      </c>
      <c r="D293">
        <v>4220</v>
      </c>
      <c r="E293">
        <v>177</v>
      </c>
      <c r="F293">
        <v>204200</v>
      </c>
      <c r="G293">
        <v>1537</v>
      </c>
      <c r="H293">
        <v>1564978</v>
      </c>
      <c r="I293">
        <v>1714</v>
      </c>
      <c r="J293" s="97">
        <v>1769178</v>
      </c>
    </row>
    <row r="294" spans="1:10" x14ac:dyDescent="0.25">
      <c r="A294">
        <v>79</v>
      </c>
      <c r="B294" t="s">
        <v>195</v>
      </c>
      <c r="C294" s="136">
        <v>46035</v>
      </c>
      <c r="D294">
        <v>4221</v>
      </c>
      <c r="E294">
        <v>39</v>
      </c>
      <c r="F294">
        <v>6600</v>
      </c>
      <c r="G294">
        <v>985</v>
      </c>
      <c r="H294">
        <v>761185</v>
      </c>
      <c r="I294">
        <v>1024</v>
      </c>
      <c r="J294" s="97">
        <v>767785</v>
      </c>
    </row>
    <row r="295" spans="1:10" x14ac:dyDescent="0.25">
      <c r="A295">
        <v>79</v>
      </c>
      <c r="B295" t="s">
        <v>195</v>
      </c>
      <c r="C295" s="136">
        <v>46035</v>
      </c>
      <c r="D295">
        <v>4222</v>
      </c>
      <c r="E295">
        <v>9</v>
      </c>
      <c r="F295">
        <v>5300</v>
      </c>
      <c r="G295">
        <v>786</v>
      </c>
      <c r="H295">
        <v>244850</v>
      </c>
      <c r="I295">
        <v>795</v>
      </c>
      <c r="J295" s="97">
        <v>250150</v>
      </c>
    </row>
    <row r="296" spans="1:10" x14ac:dyDescent="0.25">
      <c r="A296">
        <v>79</v>
      </c>
      <c r="B296" t="s">
        <v>195</v>
      </c>
      <c r="C296" s="136">
        <v>46036</v>
      </c>
      <c r="D296">
        <v>4223</v>
      </c>
      <c r="E296">
        <v>5</v>
      </c>
      <c r="F296">
        <v>3875</v>
      </c>
      <c r="G296">
        <v>842</v>
      </c>
      <c r="H296">
        <v>592500</v>
      </c>
      <c r="I296">
        <v>847</v>
      </c>
      <c r="J296" s="97">
        <v>596375</v>
      </c>
    </row>
    <row r="297" spans="1:10" x14ac:dyDescent="0.25">
      <c r="A297">
        <v>79</v>
      </c>
      <c r="B297" t="s">
        <v>195</v>
      </c>
      <c r="C297" s="136">
        <v>46036</v>
      </c>
      <c r="D297">
        <v>4224</v>
      </c>
      <c r="E297">
        <v>4</v>
      </c>
      <c r="F297">
        <v>3400</v>
      </c>
      <c r="G297">
        <v>482</v>
      </c>
      <c r="H297">
        <v>221575</v>
      </c>
      <c r="I297">
        <v>486</v>
      </c>
      <c r="J297" s="97">
        <v>224975</v>
      </c>
    </row>
    <row r="298" spans="1:10" x14ac:dyDescent="0.25">
      <c r="A298">
        <v>79</v>
      </c>
      <c r="B298" t="s">
        <v>195</v>
      </c>
      <c r="C298" s="136">
        <v>46036</v>
      </c>
      <c r="D298">
        <v>4225</v>
      </c>
      <c r="E298">
        <v>2</v>
      </c>
      <c r="F298">
        <v>800</v>
      </c>
      <c r="G298">
        <v>1549</v>
      </c>
      <c r="H298">
        <v>1350015</v>
      </c>
      <c r="I298">
        <v>1551</v>
      </c>
      <c r="J298" s="97">
        <v>1350815</v>
      </c>
    </row>
    <row r="299" spans="1:10" x14ac:dyDescent="0.25">
      <c r="A299">
        <v>79</v>
      </c>
      <c r="B299" t="s">
        <v>195</v>
      </c>
      <c r="C299" s="136">
        <v>46036</v>
      </c>
      <c r="D299">
        <v>4226</v>
      </c>
      <c r="E299">
        <v>3</v>
      </c>
      <c r="F299">
        <v>2100</v>
      </c>
      <c r="G299">
        <v>1031</v>
      </c>
      <c r="H299">
        <v>859542</v>
      </c>
      <c r="I299">
        <v>1034</v>
      </c>
      <c r="J299" s="97">
        <v>861642</v>
      </c>
    </row>
    <row r="300" spans="1:10" x14ac:dyDescent="0.25">
      <c r="A300">
        <v>79</v>
      </c>
      <c r="B300" t="s">
        <v>195</v>
      </c>
      <c r="C300" s="136">
        <v>46036</v>
      </c>
      <c r="D300">
        <v>4227</v>
      </c>
      <c r="E300">
        <v>10</v>
      </c>
      <c r="F300">
        <v>7700</v>
      </c>
      <c r="G300">
        <v>542</v>
      </c>
      <c r="H300">
        <v>136840</v>
      </c>
      <c r="I300">
        <v>552</v>
      </c>
      <c r="J300" s="97">
        <v>144540</v>
      </c>
    </row>
    <row r="301" spans="1:10" x14ac:dyDescent="0.25">
      <c r="A301">
        <v>79</v>
      </c>
      <c r="B301" t="s">
        <v>195</v>
      </c>
      <c r="C301" s="136">
        <v>46037</v>
      </c>
      <c r="D301">
        <v>4228</v>
      </c>
      <c r="E301">
        <v>5</v>
      </c>
      <c r="F301">
        <v>2200</v>
      </c>
      <c r="G301">
        <v>231</v>
      </c>
      <c r="H301">
        <v>60350</v>
      </c>
      <c r="I301">
        <v>236</v>
      </c>
      <c r="J301" s="97">
        <v>62550</v>
      </c>
    </row>
    <row r="302" spans="1:10" x14ac:dyDescent="0.25">
      <c r="A302">
        <v>79</v>
      </c>
      <c r="B302" t="s">
        <v>195</v>
      </c>
      <c r="C302" s="136">
        <v>46037</v>
      </c>
      <c r="D302">
        <v>4229</v>
      </c>
      <c r="E302">
        <v>1</v>
      </c>
      <c r="F302">
        <v>100</v>
      </c>
      <c r="G302">
        <v>461</v>
      </c>
      <c r="H302">
        <v>155925</v>
      </c>
      <c r="I302">
        <v>462</v>
      </c>
      <c r="J302" s="97">
        <v>156025</v>
      </c>
    </row>
    <row r="303" spans="1:10" x14ac:dyDescent="0.25">
      <c r="A303">
        <v>79</v>
      </c>
      <c r="B303" t="s">
        <v>195</v>
      </c>
      <c r="C303" s="136">
        <v>46037</v>
      </c>
      <c r="D303">
        <v>4230</v>
      </c>
      <c r="E303">
        <v>0</v>
      </c>
      <c r="F303">
        <v>0</v>
      </c>
      <c r="G303">
        <v>585</v>
      </c>
      <c r="H303">
        <v>235600</v>
      </c>
      <c r="I303">
        <v>585</v>
      </c>
      <c r="J303" s="97">
        <v>235600</v>
      </c>
    </row>
    <row r="304" spans="1:10" x14ac:dyDescent="0.25">
      <c r="A304">
        <v>79</v>
      </c>
      <c r="B304" t="s">
        <v>195</v>
      </c>
      <c r="C304" s="136">
        <v>46037</v>
      </c>
      <c r="D304">
        <v>4231</v>
      </c>
      <c r="E304">
        <v>4</v>
      </c>
      <c r="F304">
        <v>1000</v>
      </c>
      <c r="G304">
        <v>377</v>
      </c>
      <c r="H304">
        <v>137800</v>
      </c>
      <c r="I304">
        <v>381</v>
      </c>
      <c r="J304" s="97">
        <v>138800</v>
      </c>
    </row>
    <row r="305" spans="1:10" x14ac:dyDescent="0.25">
      <c r="A305">
        <v>79</v>
      </c>
      <c r="B305" t="s">
        <v>195</v>
      </c>
      <c r="C305" s="136">
        <v>46037</v>
      </c>
      <c r="D305">
        <v>4232</v>
      </c>
      <c r="E305">
        <v>8</v>
      </c>
      <c r="F305">
        <v>5900</v>
      </c>
      <c r="G305">
        <v>404</v>
      </c>
      <c r="H305">
        <v>124955</v>
      </c>
      <c r="I305">
        <v>412</v>
      </c>
      <c r="J305" s="97">
        <v>130855</v>
      </c>
    </row>
    <row r="306" spans="1:10" x14ac:dyDescent="0.25">
      <c r="A306">
        <v>79</v>
      </c>
      <c r="B306" t="s">
        <v>195</v>
      </c>
      <c r="C306" s="136">
        <v>46038</v>
      </c>
      <c r="D306">
        <v>4233</v>
      </c>
      <c r="E306">
        <v>0</v>
      </c>
      <c r="F306">
        <v>0</v>
      </c>
      <c r="G306">
        <v>423</v>
      </c>
      <c r="H306">
        <v>155400</v>
      </c>
      <c r="I306">
        <v>423</v>
      </c>
      <c r="J306" s="97">
        <v>155400</v>
      </c>
    </row>
    <row r="307" spans="1:10" x14ac:dyDescent="0.25">
      <c r="A307">
        <v>79</v>
      </c>
      <c r="B307" t="s">
        <v>195</v>
      </c>
      <c r="C307" s="136">
        <v>46038</v>
      </c>
      <c r="D307">
        <v>4234</v>
      </c>
      <c r="E307">
        <v>2</v>
      </c>
      <c r="F307">
        <v>800</v>
      </c>
      <c r="G307">
        <v>622</v>
      </c>
      <c r="H307">
        <v>154350</v>
      </c>
      <c r="I307">
        <v>624</v>
      </c>
      <c r="J307" s="97">
        <v>155150</v>
      </c>
    </row>
    <row r="308" spans="1:10" x14ac:dyDescent="0.25">
      <c r="A308">
        <v>79</v>
      </c>
      <c r="B308" t="s">
        <v>195</v>
      </c>
      <c r="C308" s="136">
        <v>46038</v>
      </c>
      <c r="D308">
        <v>4235</v>
      </c>
      <c r="E308">
        <v>5</v>
      </c>
      <c r="F308">
        <v>625</v>
      </c>
      <c r="G308">
        <v>832</v>
      </c>
      <c r="H308">
        <v>294705</v>
      </c>
      <c r="I308">
        <v>837</v>
      </c>
      <c r="J308" s="97">
        <v>295330</v>
      </c>
    </row>
    <row r="309" spans="1:10" x14ac:dyDescent="0.25">
      <c r="A309">
        <v>79</v>
      </c>
      <c r="B309" t="s">
        <v>195</v>
      </c>
      <c r="C309" s="136">
        <v>46038</v>
      </c>
      <c r="D309">
        <v>4236</v>
      </c>
      <c r="E309">
        <v>34</v>
      </c>
      <c r="F309">
        <v>6900</v>
      </c>
      <c r="G309">
        <v>679</v>
      </c>
      <c r="H309">
        <v>215725</v>
      </c>
      <c r="I309">
        <v>713</v>
      </c>
      <c r="J309" s="97">
        <v>222625</v>
      </c>
    </row>
    <row r="310" spans="1:10" x14ac:dyDescent="0.25">
      <c r="A310">
        <v>79</v>
      </c>
      <c r="B310" t="s">
        <v>195</v>
      </c>
      <c r="C310" s="136">
        <v>46038</v>
      </c>
      <c r="D310">
        <v>4237</v>
      </c>
      <c r="E310">
        <v>7</v>
      </c>
      <c r="F310">
        <v>700</v>
      </c>
      <c r="G310">
        <v>334</v>
      </c>
      <c r="H310">
        <v>128410</v>
      </c>
      <c r="I310">
        <v>341</v>
      </c>
      <c r="J310" s="97">
        <v>129110</v>
      </c>
    </row>
    <row r="311" spans="1:10" x14ac:dyDescent="0.25">
      <c r="A311">
        <v>79</v>
      </c>
      <c r="B311" t="s">
        <v>195</v>
      </c>
      <c r="C311" s="136">
        <v>46039</v>
      </c>
      <c r="D311">
        <v>4238</v>
      </c>
      <c r="E311">
        <v>5</v>
      </c>
      <c r="F311">
        <v>500</v>
      </c>
      <c r="G311">
        <v>366</v>
      </c>
      <c r="H311">
        <v>126840</v>
      </c>
      <c r="I311">
        <v>371</v>
      </c>
      <c r="J311" s="97">
        <v>127340</v>
      </c>
    </row>
    <row r="312" spans="1:10" x14ac:dyDescent="0.25">
      <c r="A312">
        <v>79</v>
      </c>
      <c r="B312" t="s">
        <v>195</v>
      </c>
      <c r="C312" s="136">
        <v>46039</v>
      </c>
      <c r="D312">
        <v>4239</v>
      </c>
      <c r="E312">
        <v>1</v>
      </c>
      <c r="F312">
        <v>100</v>
      </c>
      <c r="G312">
        <v>355</v>
      </c>
      <c r="H312">
        <v>111550</v>
      </c>
      <c r="I312">
        <v>356</v>
      </c>
      <c r="J312" s="97">
        <v>111650</v>
      </c>
    </row>
    <row r="313" spans="1:10" x14ac:dyDescent="0.25">
      <c r="A313">
        <v>79</v>
      </c>
      <c r="B313" t="s">
        <v>195</v>
      </c>
      <c r="C313" s="136">
        <v>46039</v>
      </c>
      <c r="D313">
        <v>4240</v>
      </c>
      <c r="E313">
        <v>27</v>
      </c>
      <c r="F313">
        <v>5300</v>
      </c>
      <c r="G313">
        <v>826</v>
      </c>
      <c r="H313">
        <v>201600</v>
      </c>
      <c r="I313">
        <v>853</v>
      </c>
      <c r="J313" s="97">
        <v>206900</v>
      </c>
    </row>
    <row r="314" spans="1:10" x14ac:dyDescent="0.25">
      <c r="A314">
        <v>79</v>
      </c>
      <c r="B314" t="s">
        <v>195</v>
      </c>
      <c r="C314" s="136">
        <v>46039</v>
      </c>
      <c r="D314">
        <v>4241</v>
      </c>
      <c r="E314">
        <v>4</v>
      </c>
      <c r="F314">
        <v>800</v>
      </c>
      <c r="G314">
        <v>584</v>
      </c>
      <c r="H314">
        <v>176740</v>
      </c>
      <c r="I314">
        <v>588</v>
      </c>
      <c r="J314" s="97">
        <v>177540</v>
      </c>
    </row>
    <row r="315" spans="1:10" x14ac:dyDescent="0.25">
      <c r="A315">
        <v>79</v>
      </c>
      <c r="B315" t="s">
        <v>195</v>
      </c>
      <c r="C315" s="136">
        <v>46039</v>
      </c>
      <c r="D315">
        <v>4242</v>
      </c>
      <c r="E315">
        <v>20</v>
      </c>
      <c r="F315">
        <v>26700</v>
      </c>
      <c r="G315">
        <v>347</v>
      </c>
      <c r="H315">
        <v>117150</v>
      </c>
      <c r="I315">
        <v>367</v>
      </c>
      <c r="J315" s="97">
        <v>143850</v>
      </c>
    </row>
    <row r="316" spans="1:10" x14ac:dyDescent="0.25">
      <c r="A316">
        <v>79</v>
      </c>
      <c r="B316" t="s">
        <v>195</v>
      </c>
      <c r="C316" s="136">
        <v>46041</v>
      </c>
      <c r="D316">
        <v>4243</v>
      </c>
      <c r="E316">
        <v>1</v>
      </c>
      <c r="F316">
        <v>1000</v>
      </c>
      <c r="G316">
        <v>207</v>
      </c>
      <c r="H316">
        <v>79312</v>
      </c>
      <c r="I316">
        <v>208</v>
      </c>
      <c r="J316" s="97">
        <v>80312</v>
      </c>
    </row>
    <row r="317" spans="1:10" x14ac:dyDescent="0.25">
      <c r="A317">
        <v>79</v>
      </c>
      <c r="B317" t="s">
        <v>195</v>
      </c>
      <c r="C317" s="136">
        <v>46041</v>
      </c>
      <c r="D317">
        <v>4244</v>
      </c>
      <c r="E317">
        <v>2</v>
      </c>
      <c r="F317">
        <v>200</v>
      </c>
      <c r="G317">
        <v>620</v>
      </c>
      <c r="H317">
        <v>149200</v>
      </c>
      <c r="I317">
        <v>622</v>
      </c>
      <c r="J317" s="97">
        <v>149400</v>
      </c>
    </row>
    <row r="318" spans="1:10" x14ac:dyDescent="0.25">
      <c r="A318">
        <v>79</v>
      </c>
      <c r="B318" t="s">
        <v>195</v>
      </c>
      <c r="C318" s="136">
        <v>46041</v>
      </c>
      <c r="D318">
        <v>4245</v>
      </c>
      <c r="E318">
        <v>24</v>
      </c>
      <c r="F318">
        <v>2400</v>
      </c>
      <c r="G318">
        <v>562</v>
      </c>
      <c r="H318">
        <v>134050</v>
      </c>
      <c r="I318">
        <v>586</v>
      </c>
      <c r="J318" s="97">
        <v>136450</v>
      </c>
    </row>
    <row r="319" spans="1:10" x14ac:dyDescent="0.25">
      <c r="A319">
        <v>79</v>
      </c>
      <c r="B319" t="s">
        <v>195</v>
      </c>
      <c r="C319" s="136">
        <v>46041</v>
      </c>
      <c r="D319">
        <v>4246</v>
      </c>
      <c r="E319">
        <v>1</v>
      </c>
      <c r="F319">
        <v>100</v>
      </c>
      <c r="G319">
        <v>522</v>
      </c>
      <c r="H319">
        <v>201010</v>
      </c>
      <c r="I319">
        <v>523</v>
      </c>
      <c r="J319" s="97">
        <v>201110</v>
      </c>
    </row>
    <row r="320" spans="1:10" x14ac:dyDescent="0.25">
      <c r="A320">
        <v>79</v>
      </c>
      <c r="B320" t="s">
        <v>195</v>
      </c>
      <c r="C320" s="136">
        <v>46041</v>
      </c>
      <c r="D320">
        <v>4247</v>
      </c>
      <c r="E320">
        <v>4</v>
      </c>
      <c r="F320">
        <v>900</v>
      </c>
      <c r="G320">
        <v>612</v>
      </c>
      <c r="H320">
        <v>189549</v>
      </c>
      <c r="I320">
        <v>616</v>
      </c>
      <c r="J320" s="97">
        <v>190449</v>
      </c>
    </row>
    <row r="321" spans="1:10" x14ac:dyDescent="0.25">
      <c r="A321">
        <v>79</v>
      </c>
      <c r="B321" t="s">
        <v>195</v>
      </c>
      <c r="C321" s="136">
        <v>46042</v>
      </c>
      <c r="D321">
        <v>4248</v>
      </c>
      <c r="E321">
        <v>58</v>
      </c>
      <c r="F321">
        <v>8925</v>
      </c>
      <c r="G321">
        <v>359</v>
      </c>
      <c r="H321">
        <v>71950</v>
      </c>
      <c r="I321">
        <v>417</v>
      </c>
      <c r="J321" s="97">
        <v>80875</v>
      </c>
    </row>
    <row r="322" spans="1:10" x14ac:dyDescent="0.25">
      <c r="A322">
        <v>79</v>
      </c>
      <c r="B322" t="s">
        <v>195</v>
      </c>
      <c r="C322" s="136">
        <v>46042</v>
      </c>
      <c r="D322">
        <v>4249</v>
      </c>
      <c r="E322">
        <v>1</v>
      </c>
      <c r="F322">
        <v>100</v>
      </c>
      <c r="G322">
        <v>407</v>
      </c>
      <c r="H322">
        <v>155845</v>
      </c>
      <c r="I322">
        <v>408</v>
      </c>
      <c r="J322" s="97">
        <v>155945</v>
      </c>
    </row>
    <row r="323" spans="1:10" x14ac:dyDescent="0.25">
      <c r="A323">
        <v>79</v>
      </c>
      <c r="B323" t="s">
        <v>195</v>
      </c>
      <c r="C323" s="136">
        <v>46042</v>
      </c>
      <c r="D323">
        <v>4250</v>
      </c>
      <c r="E323">
        <v>6</v>
      </c>
      <c r="F323">
        <v>4070</v>
      </c>
      <c r="G323">
        <v>700</v>
      </c>
      <c r="H323">
        <v>244430</v>
      </c>
      <c r="I323">
        <v>706</v>
      </c>
      <c r="J323" s="97">
        <v>248500</v>
      </c>
    </row>
    <row r="324" spans="1:10" x14ac:dyDescent="0.25">
      <c r="A324">
        <v>79</v>
      </c>
      <c r="B324" t="s">
        <v>195</v>
      </c>
      <c r="C324" s="136">
        <v>46042</v>
      </c>
      <c r="D324">
        <v>4251</v>
      </c>
      <c r="E324">
        <v>10</v>
      </c>
      <c r="F324">
        <v>5000</v>
      </c>
      <c r="G324">
        <v>831</v>
      </c>
      <c r="H324">
        <v>213375</v>
      </c>
      <c r="I324">
        <v>841</v>
      </c>
      <c r="J324" s="97">
        <v>218375</v>
      </c>
    </row>
    <row r="325" spans="1:10" x14ac:dyDescent="0.25">
      <c r="A325">
        <v>79</v>
      </c>
      <c r="B325" t="s">
        <v>195</v>
      </c>
      <c r="C325" s="136">
        <v>46042</v>
      </c>
      <c r="D325">
        <v>4252</v>
      </c>
      <c r="E325">
        <v>4</v>
      </c>
      <c r="F325">
        <v>3900</v>
      </c>
      <c r="G325">
        <v>610</v>
      </c>
      <c r="H325">
        <v>206550</v>
      </c>
      <c r="I325">
        <v>614</v>
      </c>
      <c r="J325" s="97">
        <v>210450</v>
      </c>
    </row>
    <row r="326" spans="1:10" x14ac:dyDescent="0.25">
      <c r="A326">
        <v>79</v>
      </c>
      <c r="B326" t="s">
        <v>195</v>
      </c>
      <c r="C326" s="136">
        <v>46043</v>
      </c>
      <c r="D326">
        <v>4253</v>
      </c>
      <c r="E326">
        <v>0</v>
      </c>
      <c r="F326">
        <v>0</v>
      </c>
      <c r="G326">
        <v>837</v>
      </c>
      <c r="H326">
        <v>539005</v>
      </c>
      <c r="I326">
        <v>837</v>
      </c>
      <c r="J326" s="97">
        <v>539005</v>
      </c>
    </row>
    <row r="327" spans="1:10" x14ac:dyDescent="0.25">
      <c r="A327">
        <v>79</v>
      </c>
      <c r="B327" t="s">
        <v>195</v>
      </c>
      <c r="C327" s="136">
        <v>46043</v>
      </c>
      <c r="D327">
        <v>4254</v>
      </c>
      <c r="E327">
        <v>7</v>
      </c>
      <c r="F327">
        <v>1400</v>
      </c>
      <c r="G327">
        <v>480</v>
      </c>
      <c r="H327">
        <v>161665</v>
      </c>
      <c r="I327">
        <v>487</v>
      </c>
      <c r="J327" s="97">
        <v>163065</v>
      </c>
    </row>
    <row r="328" spans="1:10" x14ac:dyDescent="0.25">
      <c r="A328">
        <v>79</v>
      </c>
      <c r="B328" t="s">
        <v>195</v>
      </c>
      <c r="C328" s="136">
        <v>46043</v>
      </c>
      <c r="D328">
        <v>4255</v>
      </c>
      <c r="E328">
        <v>2</v>
      </c>
      <c r="F328">
        <v>1100</v>
      </c>
      <c r="G328">
        <v>831</v>
      </c>
      <c r="H328">
        <v>280470</v>
      </c>
      <c r="I328">
        <v>833</v>
      </c>
      <c r="J328" s="97">
        <v>281570</v>
      </c>
    </row>
    <row r="329" spans="1:10" x14ac:dyDescent="0.25">
      <c r="A329">
        <v>79</v>
      </c>
      <c r="B329" t="s">
        <v>195</v>
      </c>
      <c r="C329" s="136">
        <v>46043</v>
      </c>
      <c r="D329">
        <v>4256</v>
      </c>
      <c r="E329">
        <v>3</v>
      </c>
      <c r="F329">
        <v>396</v>
      </c>
      <c r="G329">
        <v>844</v>
      </c>
      <c r="H329">
        <v>575055</v>
      </c>
      <c r="I329">
        <v>847</v>
      </c>
      <c r="J329" s="97">
        <v>575451</v>
      </c>
    </row>
    <row r="330" spans="1:10" x14ac:dyDescent="0.25">
      <c r="A330">
        <v>79</v>
      </c>
      <c r="B330" t="s">
        <v>195</v>
      </c>
      <c r="C330" s="136">
        <v>46043</v>
      </c>
      <c r="D330">
        <v>4257</v>
      </c>
      <c r="E330">
        <v>2</v>
      </c>
      <c r="F330">
        <v>1100</v>
      </c>
      <c r="G330">
        <v>860</v>
      </c>
      <c r="H330">
        <v>191095</v>
      </c>
      <c r="I330">
        <v>862</v>
      </c>
      <c r="J330" s="97">
        <v>192195</v>
      </c>
    </row>
    <row r="331" spans="1:10" x14ac:dyDescent="0.25">
      <c r="A331">
        <v>79</v>
      </c>
      <c r="B331" t="s">
        <v>195</v>
      </c>
      <c r="C331" s="136">
        <v>46044</v>
      </c>
      <c r="D331">
        <v>4258</v>
      </c>
      <c r="E331">
        <v>0</v>
      </c>
      <c r="F331">
        <v>0</v>
      </c>
      <c r="G331">
        <v>455</v>
      </c>
      <c r="H331">
        <v>171749</v>
      </c>
      <c r="I331">
        <v>455</v>
      </c>
      <c r="J331" s="97">
        <v>171749</v>
      </c>
    </row>
    <row r="332" spans="1:10" x14ac:dyDescent="0.25">
      <c r="A332">
        <v>79</v>
      </c>
      <c r="B332" t="s">
        <v>195</v>
      </c>
      <c r="C332" s="136">
        <v>46044</v>
      </c>
      <c r="D332">
        <v>4259</v>
      </c>
      <c r="E332">
        <v>1</v>
      </c>
      <c r="F332">
        <v>100</v>
      </c>
      <c r="G332">
        <v>528</v>
      </c>
      <c r="H332">
        <v>177440</v>
      </c>
      <c r="I332">
        <v>529</v>
      </c>
      <c r="J332" s="97">
        <v>177540</v>
      </c>
    </row>
    <row r="333" spans="1:10" x14ac:dyDescent="0.25">
      <c r="A333">
        <v>79</v>
      </c>
      <c r="B333" t="s">
        <v>195</v>
      </c>
      <c r="C333" s="136">
        <v>46044</v>
      </c>
      <c r="D333">
        <v>4260</v>
      </c>
      <c r="E333">
        <v>11</v>
      </c>
      <c r="F333">
        <v>4000</v>
      </c>
      <c r="G333">
        <v>405</v>
      </c>
      <c r="H333">
        <v>141650</v>
      </c>
      <c r="I333">
        <v>416</v>
      </c>
      <c r="J333" s="97">
        <v>145650</v>
      </c>
    </row>
    <row r="334" spans="1:10" x14ac:dyDescent="0.25">
      <c r="A334">
        <v>79</v>
      </c>
      <c r="B334" t="s">
        <v>195</v>
      </c>
      <c r="C334" s="136">
        <v>46044</v>
      </c>
      <c r="D334">
        <v>4261</v>
      </c>
      <c r="E334">
        <v>4</v>
      </c>
      <c r="F334">
        <v>1800</v>
      </c>
      <c r="G334">
        <v>594</v>
      </c>
      <c r="H334">
        <v>223900</v>
      </c>
      <c r="I334">
        <v>598</v>
      </c>
      <c r="J334" s="97">
        <v>225700</v>
      </c>
    </row>
    <row r="335" spans="1:10" x14ac:dyDescent="0.25">
      <c r="A335">
        <v>79</v>
      </c>
      <c r="B335" t="s">
        <v>195</v>
      </c>
      <c r="C335" s="136">
        <v>46044</v>
      </c>
      <c r="D335">
        <v>4262</v>
      </c>
      <c r="E335">
        <v>18</v>
      </c>
      <c r="F335">
        <v>1800</v>
      </c>
      <c r="G335">
        <v>581</v>
      </c>
      <c r="H335">
        <v>175125</v>
      </c>
      <c r="I335">
        <v>599</v>
      </c>
      <c r="J335" s="97">
        <v>176925</v>
      </c>
    </row>
    <row r="336" spans="1:10" x14ac:dyDescent="0.25">
      <c r="A336">
        <v>79</v>
      </c>
      <c r="B336" t="s">
        <v>195</v>
      </c>
      <c r="C336" s="136">
        <v>46045</v>
      </c>
      <c r="D336">
        <v>4263</v>
      </c>
      <c r="E336">
        <v>2</v>
      </c>
      <c r="F336">
        <v>200</v>
      </c>
      <c r="G336">
        <v>357</v>
      </c>
      <c r="H336">
        <v>146125</v>
      </c>
      <c r="I336">
        <v>359</v>
      </c>
      <c r="J336" s="97">
        <v>146325</v>
      </c>
    </row>
    <row r="337" spans="1:10" x14ac:dyDescent="0.25">
      <c r="A337">
        <v>79</v>
      </c>
      <c r="B337" t="s">
        <v>195</v>
      </c>
      <c r="C337" s="136">
        <v>46045</v>
      </c>
      <c r="D337">
        <v>4264</v>
      </c>
      <c r="E337">
        <v>17</v>
      </c>
      <c r="F337">
        <v>5250</v>
      </c>
      <c r="G337">
        <v>447</v>
      </c>
      <c r="H337">
        <v>101250</v>
      </c>
      <c r="I337">
        <v>464</v>
      </c>
      <c r="J337" s="97">
        <v>106500</v>
      </c>
    </row>
    <row r="338" spans="1:10" x14ac:dyDescent="0.25">
      <c r="A338">
        <v>79</v>
      </c>
      <c r="B338" t="s">
        <v>195</v>
      </c>
      <c r="C338" s="136">
        <v>46045</v>
      </c>
      <c r="D338">
        <v>4265</v>
      </c>
      <c r="E338">
        <v>23</v>
      </c>
      <c r="F338">
        <v>12100</v>
      </c>
      <c r="G338">
        <v>737</v>
      </c>
      <c r="H338">
        <v>253135</v>
      </c>
      <c r="I338">
        <v>760</v>
      </c>
      <c r="J338" s="97">
        <v>265235</v>
      </c>
    </row>
    <row r="339" spans="1:10" x14ac:dyDescent="0.25">
      <c r="A339">
        <v>79</v>
      </c>
      <c r="B339" t="s">
        <v>195</v>
      </c>
      <c r="C339" s="136">
        <v>46045</v>
      </c>
      <c r="D339">
        <v>4266</v>
      </c>
      <c r="E339">
        <v>10</v>
      </c>
      <c r="F339">
        <v>1100</v>
      </c>
      <c r="G339">
        <v>506</v>
      </c>
      <c r="H339">
        <v>179225</v>
      </c>
      <c r="I339">
        <v>516</v>
      </c>
      <c r="J339" s="97">
        <v>180325</v>
      </c>
    </row>
    <row r="340" spans="1:10" x14ac:dyDescent="0.25">
      <c r="A340">
        <v>79</v>
      </c>
      <c r="B340" t="s">
        <v>195</v>
      </c>
      <c r="C340" s="136">
        <v>46045</v>
      </c>
      <c r="D340">
        <v>4267</v>
      </c>
      <c r="E340">
        <v>4</v>
      </c>
      <c r="F340">
        <v>1000</v>
      </c>
      <c r="G340">
        <v>788</v>
      </c>
      <c r="H340">
        <v>184590</v>
      </c>
      <c r="I340">
        <v>792</v>
      </c>
      <c r="J340" s="97">
        <v>185590</v>
      </c>
    </row>
    <row r="341" spans="1:10" x14ac:dyDescent="0.25">
      <c r="A341">
        <v>79</v>
      </c>
      <c r="B341" t="s">
        <v>195</v>
      </c>
      <c r="C341" s="136">
        <v>46046</v>
      </c>
      <c r="D341">
        <v>4268</v>
      </c>
      <c r="E341">
        <v>7</v>
      </c>
      <c r="F341">
        <v>1064</v>
      </c>
      <c r="G341">
        <v>237</v>
      </c>
      <c r="H341">
        <v>99375</v>
      </c>
      <c r="I341">
        <v>244</v>
      </c>
      <c r="J341" s="97">
        <v>100439</v>
      </c>
    </row>
    <row r="342" spans="1:10" x14ac:dyDescent="0.25">
      <c r="A342">
        <v>79</v>
      </c>
      <c r="B342" t="s">
        <v>195</v>
      </c>
      <c r="C342" s="136">
        <v>46046</v>
      </c>
      <c r="D342">
        <v>4269</v>
      </c>
      <c r="E342">
        <v>2</v>
      </c>
      <c r="F342">
        <v>2800</v>
      </c>
      <c r="G342">
        <v>403</v>
      </c>
      <c r="H342">
        <v>82210</v>
      </c>
      <c r="I342">
        <v>405</v>
      </c>
      <c r="J342" s="97">
        <v>85010</v>
      </c>
    </row>
    <row r="343" spans="1:10" x14ac:dyDescent="0.25">
      <c r="A343">
        <v>79</v>
      </c>
      <c r="B343" t="s">
        <v>195</v>
      </c>
      <c r="C343" s="136">
        <v>46046</v>
      </c>
      <c r="D343">
        <v>4270</v>
      </c>
      <c r="E343">
        <v>7</v>
      </c>
      <c r="F343">
        <v>6280</v>
      </c>
      <c r="G343">
        <v>586</v>
      </c>
      <c r="H343">
        <v>162250</v>
      </c>
      <c r="I343">
        <v>593</v>
      </c>
      <c r="J343" s="97">
        <v>168530</v>
      </c>
    </row>
    <row r="344" spans="1:10" x14ac:dyDescent="0.25">
      <c r="A344">
        <v>79</v>
      </c>
      <c r="B344" t="s">
        <v>195</v>
      </c>
      <c r="C344" s="136">
        <v>46046</v>
      </c>
      <c r="D344">
        <v>4271</v>
      </c>
      <c r="E344">
        <v>4</v>
      </c>
      <c r="F344">
        <v>1600</v>
      </c>
      <c r="G344">
        <v>311</v>
      </c>
      <c r="H344">
        <v>108200</v>
      </c>
      <c r="I344">
        <v>315</v>
      </c>
      <c r="J344" s="97">
        <v>109800</v>
      </c>
    </row>
    <row r="345" spans="1:10" x14ac:dyDescent="0.25">
      <c r="A345">
        <v>79</v>
      </c>
      <c r="B345" t="s">
        <v>195</v>
      </c>
      <c r="C345" s="136">
        <v>46046</v>
      </c>
      <c r="D345">
        <v>4272</v>
      </c>
      <c r="E345">
        <v>10</v>
      </c>
      <c r="F345">
        <v>9600</v>
      </c>
      <c r="G345">
        <v>382</v>
      </c>
      <c r="H345">
        <v>191270</v>
      </c>
      <c r="I345">
        <v>392</v>
      </c>
      <c r="J345" s="97">
        <v>200870</v>
      </c>
    </row>
    <row r="346" spans="1:10" x14ac:dyDescent="0.25">
      <c r="A346">
        <v>79</v>
      </c>
      <c r="B346" t="s">
        <v>195</v>
      </c>
      <c r="C346" s="136">
        <v>46048</v>
      </c>
      <c r="D346">
        <v>4273</v>
      </c>
      <c r="E346">
        <v>14</v>
      </c>
      <c r="F346">
        <v>7500</v>
      </c>
      <c r="G346">
        <v>201</v>
      </c>
      <c r="H346">
        <v>57300</v>
      </c>
      <c r="I346">
        <v>215</v>
      </c>
      <c r="J346" s="97">
        <v>64800</v>
      </c>
    </row>
    <row r="347" spans="1:10" x14ac:dyDescent="0.25">
      <c r="A347">
        <v>79</v>
      </c>
      <c r="B347" t="s">
        <v>195</v>
      </c>
      <c r="C347" s="136">
        <v>46048</v>
      </c>
      <c r="D347">
        <v>4274</v>
      </c>
      <c r="E347">
        <v>18</v>
      </c>
      <c r="F347">
        <v>3100</v>
      </c>
      <c r="G347">
        <v>345</v>
      </c>
      <c r="H347">
        <v>136345</v>
      </c>
      <c r="I347">
        <v>363</v>
      </c>
      <c r="J347" s="97">
        <v>139445</v>
      </c>
    </row>
    <row r="348" spans="1:10" x14ac:dyDescent="0.25">
      <c r="A348">
        <v>79</v>
      </c>
      <c r="B348" t="s">
        <v>195</v>
      </c>
      <c r="C348" s="136">
        <v>46048</v>
      </c>
      <c r="D348">
        <v>4275</v>
      </c>
      <c r="E348">
        <v>4</v>
      </c>
      <c r="F348">
        <v>1850</v>
      </c>
      <c r="G348">
        <v>792</v>
      </c>
      <c r="H348">
        <v>249000</v>
      </c>
      <c r="I348">
        <v>796</v>
      </c>
      <c r="J348" s="97">
        <v>250850</v>
      </c>
    </row>
    <row r="349" spans="1:10" x14ac:dyDescent="0.25">
      <c r="A349">
        <v>79</v>
      </c>
      <c r="B349" t="s">
        <v>195</v>
      </c>
      <c r="C349" s="136">
        <v>46048</v>
      </c>
      <c r="D349">
        <v>4276</v>
      </c>
      <c r="E349">
        <v>6</v>
      </c>
      <c r="F349">
        <v>2900</v>
      </c>
      <c r="G349">
        <v>626</v>
      </c>
      <c r="H349">
        <v>215705</v>
      </c>
      <c r="I349">
        <v>632</v>
      </c>
      <c r="J349" s="97">
        <v>218605</v>
      </c>
    </row>
    <row r="350" spans="1:10" x14ac:dyDescent="0.25">
      <c r="A350">
        <v>79</v>
      </c>
      <c r="B350" t="s">
        <v>195</v>
      </c>
      <c r="C350" s="136">
        <v>46048</v>
      </c>
      <c r="D350">
        <v>4277</v>
      </c>
      <c r="E350">
        <v>15</v>
      </c>
      <c r="F350">
        <v>4100</v>
      </c>
      <c r="G350">
        <v>458</v>
      </c>
      <c r="H350">
        <v>142303</v>
      </c>
      <c r="I350">
        <v>473</v>
      </c>
      <c r="J350" s="97">
        <v>146403</v>
      </c>
    </row>
    <row r="351" spans="1:10" x14ac:dyDescent="0.25">
      <c r="A351">
        <v>79</v>
      </c>
      <c r="B351" t="s">
        <v>195</v>
      </c>
      <c r="C351" s="136">
        <v>46049</v>
      </c>
      <c r="D351">
        <v>4278</v>
      </c>
      <c r="E351">
        <v>1</v>
      </c>
      <c r="F351">
        <v>1400</v>
      </c>
      <c r="G351">
        <v>355</v>
      </c>
      <c r="H351">
        <v>79250</v>
      </c>
      <c r="I351">
        <v>356</v>
      </c>
      <c r="J351" s="97">
        <v>80650</v>
      </c>
    </row>
    <row r="352" spans="1:10" x14ac:dyDescent="0.25">
      <c r="A352">
        <v>79</v>
      </c>
      <c r="B352" t="s">
        <v>195</v>
      </c>
      <c r="C352" s="136">
        <v>46049</v>
      </c>
      <c r="D352">
        <v>4279</v>
      </c>
      <c r="E352">
        <v>2</v>
      </c>
      <c r="F352">
        <v>400</v>
      </c>
      <c r="G352">
        <v>686</v>
      </c>
      <c r="H352">
        <v>196775</v>
      </c>
      <c r="I352">
        <v>688</v>
      </c>
      <c r="J352" s="97">
        <v>197175</v>
      </c>
    </row>
    <row r="353" spans="1:10" x14ac:dyDescent="0.25">
      <c r="A353">
        <v>79</v>
      </c>
      <c r="B353" t="s">
        <v>195</v>
      </c>
      <c r="C353" s="136">
        <v>46049</v>
      </c>
      <c r="D353">
        <v>4280</v>
      </c>
      <c r="E353">
        <v>6</v>
      </c>
      <c r="F353">
        <v>600</v>
      </c>
      <c r="G353">
        <v>728</v>
      </c>
      <c r="H353">
        <v>220573</v>
      </c>
      <c r="I353">
        <v>734</v>
      </c>
      <c r="J353" s="97">
        <v>221173</v>
      </c>
    </row>
    <row r="354" spans="1:10" x14ac:dyDescent="0.25">
      <c r="A354">
        <v>79</v>
      </c>
      <c r="B354" t="s">
        <v>195</v>
      </c>
      <c r="C354" s="136">
        <v>46049</v>
      </c>
      <c r="D354">
        <v>4281</v>
      </c>
      <c r="E354">
        <v>7</v>
      </c>
      <c r="F354">
        <v>700</v>
      </c>
      <c r="G354">
        <v>424</v>
      </c>
      <c r="H354">
        <v>161190</v>
      </c>
      <c r="I354">
        <v>431</v>
      </c>
      <c r="J354" s="97">
        <v>161890</v>
      </c>
    </row>
    <row r="355" spans="1:10" x14ac:dyDescent="0.25">
      <c r="A355">
        <v>79</v>
      </c>
      <c r="B355" t="s">
        <v>195</v>
      </c>
      <c r="C355" s="136">
        <v>46049</v>
      </c>
      <c r="D355">
        <v>4282</v>
      </c>
      <c r="E355">
        <v>4</v>
      </c>
      <c r="F355">
        <v>4350</v>
      </c>
      <c r="G355">
        <v>733</v>
      </c>
      <c r="H355">
        <v>414410</v>
      </c>
      <c r="I355">
        <v>737</v>
      </c>
      <c r="J355" s="97">
        <v>418760</v>
      </c>
    </row>
    <row r="356" spans="1:10" x14ac:dyDescent="0.25">
      <c r="A356">
        <v>79</v>
      </c>
      <c r="B356" t="s">
        <v>195</v>
      </c>
      <c r="C356" s="136">
        <v>46050</v>
      </c>
      <c r="D356">
        <v>4283</v>
      </c>
      <c r="E356">
        <v>0</v>
      </c>
      <c r="F356">
        <v>0</v>
      </c>
      <c r="G356">
        <v>509</v>
      </c>
      <c r="H356">
        <v>170400</v>
      </c>
      <c r="I356">
        <v>509</v>
      </c>
      <c r="J356" s="97">
        <v>170400</v>
      </c>
    </row>
    <row r="357" spans="1:10" x14ac:dyDescent="0.25">
      <c r="A357">
        <v>79</v>
      </c>
      <c r="B357" t="s">
        <v>195</v>
      </c>
      <c r="C357" s="136">
        <v>46050</v>
      </c>
      <c r="D357">
        <v>4284</v>
      </c>
      <c r="E357">
        <v>3</v>
      </c>
      <c r="F357">
        <v>500</v>
      </c>
      <c r="G357">
        <v>747</v>
      </c>
      <c r="H357">
        <v>503000</v>
      </c>
      <c r="I357">
        <v>750</v>
      </c>
      <c r="J357" s="97">
        <v>503500</v>
      </c>
    </row>
    <row r="358" spans="1:10" x14ac:dyDescent="0.25">
      <c r="A358">
        <v>79</v>
      </c>
      <c r="B358" t="s">
        <v>195</v>
      </c>
      <c r="C358" s="136">
        <v>46050</v>
      </c>
      <c r="D358">
        <v>4285</v>
      </c>
      <c r="E358">
        <v>9</v>
      </c>
      <c r="F358">
        <v>2200</v>
      </c>
      <c r="G358">
        <v>641</v>
      </c>
      <c r="H358">
        <v>275025</v>
      </c>
      <c r="I358">
        <v>650</v>
      </c>
      <c r="J358" s="97">
        <v>277225</v>
      </c>
    </row>
    <row r="359" spans="1:10" x14ac:dyDescent="0.25">
      <c r="A359">
        <v>79</v>
      </c>
      <c r="B359" t="s">
        <v>195</v>
      </c>
      <c r="C359" s="136">
        <v>46050</v>
      </c>
      <c r="D359">
        <v>4286</v>
      </c>
      <c r="E359">
        <v>5</v>
      </c>
      <c r="F359">
        <v>5100</v>
      </c>
      <c r="G359">
        <v>767</v>
      </c>
      <c r="H359">
        <v>246393</v>
      </c>
      <c r="I359">
        <v>772</v>
      </c>
      <c r="J359" s="97">
        <v>251493</v>
      </c>
    </row>
    <row r="360" spans="1:10" x14ac:dyDescent="0.25">
      <c r="A360">
        <v>79</v>
      </c>
      <c r="B360" t="s">
        <v>195</v>
      </c>
      <c r="C360" s="136">
        <v>46050</v>
      </c>
      <c r="D360">
        <v>4287</v>
      </c>
      <c r="E360">
        <v>9</v>
      </c>
      <c r="F360">
        <v>3700</v>
      </c>
      <c r="G360">
        <v>533</v>
      </c>
      <c r="H360">
        <v>174100</v>
      </c>
      <c r="I360">
        <v>542</v>
      </c>
      <c r="J360" s="97">
        <v>177800</v>
      </c>
    </row>
    <row r="361" spans="1:10" x14ac:dyDescent="0.25">
      <c r="A361">
        <v>79</v>
      </c>
      <c r="B361" t="s">
        <v>195</v>
      </c>
      <c r="C361" s="136">
        <v>46051</v>
      </c>
      <c r="D361">
        <v>4288</v>
      </c>
      <c r="E361">
        <v>0</v>
      </c>
      <c r="F361">
        <v>0</v>
      </c>
      <c r="G361">
        <v>389</v>
      </c>
      <c r="H361">
        <v>205737</v>
      </c>
      <c r="I361">
        <v>389</v>
      </c>
      <c r="J361" s="97">
        <v>205737</v>
      </c>
    </row>
    <row r="362" spans="1:10" x14ac:dyDescent="0.25">
      <c r="A362">
        <v>79</v>
      </c>
      <c r="B362" t="s">
        <v>195</v>
      </c>
      <c r="C362" s="136">
        <v>46051</v>
      </c>
      <c r="D362">
        <v>4289</v>
      </c>
      <c r="E362">
        <v>1</v>
      </c>
      <c r="F362">
        <v>100</v>
      </c>
      <c r="G362">
        <v>514</v>
      </c>
      <c r="H362">
        <v>187630</v>
      </c>
      <c r="I362">
        <v>515</v>
      </c>
      <c r="J362" s="97">
        <v>187730</v>
      </c>
    </row>
    <row r="363" spans="1:10" x14ac:dyDescent="0.25">
      <c r="A363">
        <v>79</v>
      </c>
      <c r="B363" t="s">
        <v>195</v>
      </c>
      <c r="C363" s="136">
        <v>46051</v>
      </c>
      <c r="D363">
        <v>4290</v>
      </c>
      <c r="E363">
        <v>1</v>
      </c>
      <c r="F363">
        <v>100</v>
      </c>
      <c r="G363">
        <v>783</v>
      </c>
      <c r="H363">
        <v>259460</v>
      </c>
      <c r="I363">
        <v>784</v>
      </c>
      <c r="J363" s="97">
        <v>259560</v>
      </c>
    </row>
    <row r="364" spans="1:10" x14ac:dyDescent="0.25">
      <c r="A364">
        <v>79</v>
      </c>
      <c r="B364" t="s">
        <v>195</v>
      </c>
      <c r="C364" s="136">
        <v>46051</v>
      </c>
      <c r="D364">
        <v>4291</v>
      </c>
      <c r="E364">
        <v>13</v>
      </c>
      <c r="F364">
        <v>4438</v>
      </c>
      <c r="G364">
        <v>512</v>
      </c>
      <c r="H364">
        <v>189445</v>
      </c>
      <c r="I364">
        <v>525</v>
      </c>
      <c r="J364" s="97">
        <v>193883</v>
      </c>
    </row>
    <row r="365" spans="1:10" x14ac:dyDescent="0.25">
      <c r="A365">
        <v>79</v>
      </c>
      <c r="B365" t="s">
        <v>195</v>
      </c>
      <c r="C365" s="136">
        <v>46051</v>
      </c>
      <c r="D365">
        <v>4292</v>
      </c>
      <c r="E365">
        <v>7</v>
      </c>
      <c r="F365">
        <v>1820</v>
      </c>
      <c r="G365">
        <v>646</v>
      </c>
      <c r="H365">
        <v>190850</v>
      </c>
      <c r="I365">
        <v>653</v>
      </c>
      <c r="J365" s="97">
        <v>192670</v>
      </c>
    </row>
    <row r="366" spans="1:10" x14ac:dyDescent="0.25">
      <c r="A366">
        <v>79</v>
      </c>
      <c r="B366" t="s">
        <v>195</v>
      </c>
      <c r="C366" s="136">
        <v>46052</v>
      </c>
      <c r="D366">
        <v>4293</v>
      </c>
      <c r="E366">
        <v>34</v>
      </c>
      <c r="F366">
        <v>5400</v>
      </c>
      <c r="G366">
        <v>555</v>
      </c>
      <c r="H366">
        <v>131065</v>
      </c>
      <c r="I366">
        <v>589</v>
      </c>
      <c r="J366" s="97">
        <v>136465</v>
      </c>
    </row>
    <row r="367" spans="1:10" x14ac:dyDescent="0.25">
      <c r="A367">
        <v>79</v>
      </c>
      <c r="B367" t="s">
        <v>195</v>
      </c>
      <c r="C367" s="136">
        <v>46052</v>
      </c>
      <c r="D367">
        <v>4294</v>
      </c>
      <c r="E367">
        <v>5</v>
      </c>
      <c r="F367">
        <v>760</v>
      </c>
      <c r="G367">
        <v>558</v>
      </c>
      <c r="H367">
        <v>153960</v>
      </c>
      <c r="I367">
        <v>563</v>
      </c>
      <c r="J367" s="97">
        <v>154720</v>
      </c>
    </row>
    <row r="368" spans="1:10" x14ac:dyDescent="0.25">
      <c r="A368">
        <v>79</v>
      </c>
      <c r="B368" t="s">
        <v>195</v>
      </c>
      <c r="C368" s="136">
        <v>46052</v>
      </c>
      <c r="D368">
        <v>4295</v>
      </c>
      <c r="E368">
        <v>6</v>
      </c>
      <c r="F368">
        <v>2700</v>
      </c>
      <c r="G368">
        <v>813</v>
      </c>
      <c r="H368">
        <v>246320</v>
      </c>
      <c r="I368">
        <v>819</v>
      </c>
      <c r="J368" s="97">
        <v>249020</v>
      </c>
    </row>
    <row r="369" spans="1:10" x14ac:dyDescent="0.25">
      <c r="A369">
        <v>79</v>
      </c>
      <c r="B369" t="s">
        <v>195</v>
      </c>
      <c r="C369" s="136">
        <v>46052</v>
      </c>
      <c r="D369">
        <v>4296</v>
      </c>
      <c r="E369">
        <v>8</v>
      </c>
      <c r="F369">
        <v>1900</v>
      </c>
      <c r="G369">
        <v>951</v>
      </c>
      <c r="H369">
        <v>356115</v>
      </c>
      <c r="I369">
        <v>959</v>
      </c>
      <c r="J369" s="97">
        <v>358015</v>
      </c>
    </row>
    <row r="370" spans="1:10" x14ac:dyDescent="0.25">
      <c r="A370">
        <v>79</v>
      </c>
      <c r="B370" t="s">
        <v>195</v>
      </c>
      <c r="C370" s="136">
        <v>46052</v>
      </c>
      <c r="D370">
        <v>4297</v>
      </c>
      <c r="E370">
        <v>6</v>
      </c>
      <c r="F370">
        <v>1400</v>
      </c>
      <c r="G370">
        <v>844</v>
      </c>
      <c r="H370">
        <v>493825</v>
      </c>
      <c r="I370">
        <v>850</v>
      </c>
      <c r="J370" s="97">
        <v>495225</v>
      </c>
    </row>
    <row r="371" spans="1:10" x14ac:dyDescent="0.25">
      <c r="A371">
        <v>79</v>
      </c>
      <c r="B371" t="s">
        <v>195</v>
      </c>
      <c r="C371" s="136">
        <v>46053</v>
      </c>
      <c r="D371">
        <v>4298</v>
      </c>
      <c r="E371">
        <v>5</v>
      </c>
      <c r="F371">
        <v>574</v>
      </c>
      <c r="G371">
        <v>257</v>
      </c>
      <c r="H371">
        <v>82437</v>
      </c>
      <c r="I371">
        <v>262</v>
      </c>
      <c r="J371" s="97">
        <v>83011</v>
      </c>
    </row>
    <row r="372" spans="1:10" x14ac:dyDescent="0.25">
      <c r="A372">
        <v>79</v>
      </c>
      <c r="B372" t="s">
        <v>195</v>
      </c>
      <c r="C372" s="136">
        <v>46053</v>
      </c>
      <c r="D372">
        <v>4299</v>
      </c>
      <c r="E372">
        <v>1</v>
      </c>
      <c r="F372">
        <v>100</v>
      </c>
      <c r="G372">
        <v>306</v>
      </c>
      <c r="H372">
        <v>87675</v>
      </c>
      <c r="I372">
        <v>307</v>
      </c>
      <c r="J372" s="97">
        <v>87775</v>
      </c>
    </row>
    <row r="373" spans="1:10" x14ac:dyDescent="0.25">
      <c r="A373">
        <v>79</v>
      </c>
      <c r="B373" t="s">
        <v>195</v>
      </c>
      <c r="C373" s="136">
        <v>46053</v>
      </c>
      <c r="D373">
        <v>4300</v>
      </c>
      <c r="E373">
        <v>0</v>
      </c>
      <c r="F373">
        <v>0</v>
      </c>
      <c r="G373">
        <v>936</v>
      </c>
      <c r="H373">
        <v>425650</v>
      </c>
      <c r="I373">
        <v>936</v>
      </c>
      <c r="J373" s="97">
        <v>425650</v>
      </c>
    </row>
    <row r="374" spans="1:10" x14ac:dyDescent="0.25">
      <c r="A374">
        <v>79</v>
      </c>
      <c r="B374" t="s">
        <v>195</v>
      </c>
      <c r="C374" s="136">
        <v>46053</v>
      </c>
      <c r="D374">
        <v>4301</v>
      </c>
      <c r="E374">
        <v>3</v>
      </c>
      <c r="F374">
        <v>400</v>
      </c>
      <c r="G374">
        <v>342</v>
      </c>
      <c r="H374">
        <v>120720</v>
      </c>
      <c r="I374">
        <v>345</v>
      </c>
      <c r="J374" s="97">
        <v>121120</v>
      </c>
    </row>
    <row r="375" spans="1:10" x14ac:dyDescent="0.25">
      <c r="A375">
        <v>79</v>
      </c>
      <c r="B375" t="s">
        <v>195</v>
      </c>
      <c r="C375" s="136">
        <v>46053</v>
      </c>
      <c r="D375">
        <v>4302</v>
      </c>
      <c r="E375">
        <v>4</v>
      </c>
      <c r="F375">
        <v>2500</v>
      </c>
      <c r="G375">
        <v>347</v>
      </c>
      <c r="H375">
        <v>184800</v>
      </c>
      <c r="I375">
        <v>351</v>
      </c>
      <c r="J375" s="97">
        <v>187300</v>
      </c>
    </row>
    <row r="376" spans="1:10" x14ac:dyDescent="0.25">
      <c r="A376">
        <v>74</v>
      </c>
      <c r="B376" t="s">
        <v>162</v>
      </c>
      <c r="C376" s="136">
        <v>46024</v>
      </c>
      <c r="D376">
        <v>4527</v>
      </c>
      <c r="E376">
        <v>10</v>
      </c>
      <c r="F376">
        <v>6808</v>
      </c>
      <c r="G376">
        <v>2098</v>
      </c>
      <c r="H376">
        <v>757779</v>
      </c>
      <c r="I376">
        <v>2108</v>
      </c>
      <c r="J376" s="97">
        <v>764587</v>
      </c>
    </row>
    <row r="377" spans="1:10" x14ac:dyDescent="0.25">
      <c r="A377">
        <v>74</v>
      </c>
      <c r="B377" t="s">
        <v>162</v>
      </c>
      <c r="C377" s="136">
        <v>46025</v>
      </c>
      <c r="D377">
        <v>4528</v>
      </c>
      <c r="E377">
        <v>21</v>
      </c>
      <c r="F377">
        <v>11700</v>
      </c>
      <c r="G377">
        <v>2389</v>
      </c>
      <c r="H377">
        <v>765267</v>
      </c>
      <c r="I377">
        <v>2410</v>
      </c>
      <c r="J377" s="97">
        <v>776967</v>
      </c>
    </row>
    <row r="378" spans="1:10" x14ac:dyDescent="0.25">
      <c r="A378">
        <v>74</v>
      </c>
      <c r="B378" t="s">
        <v>162</v>
      </c>
      <c r="C378" s="136">
        <v>46027</v>
      </c>
      <c r="D378">
        <v>4529</v>
      </c>
      <c r="E378">
        <v>10</v>
      </c>
      <c r="F378">
        <v>5900</v>
      </c>
      <c r="G378">
        <v>2120</v>
      </c>
      <c r="H378">
        <v>701697</v>
      </c>
      <c r="I378">
        <v>2130</v>
      </c>
      <c r="J378" s="97">
        <v>707597</v>
      </c>
    </row>
    <row r="379" spans="1:10" x14ac:dyDescent="0.25">
      <c r="A379">
        <v>74</v>
      </c>
      <c r="B379" t="s">
        <v>162</v>
      </c>
      <c r="C379" s="136">
        <v>46028</v>
      </c>
      <c r="D379">
        <v>4530</v>
      </c>
      <c r="E379">
        <v>14</v>
      </c>
      <c r="F379">
        <v>8200</v>
      </c>
      <c r="G379">
        <v>2128</v>
      </c>
      <c r="H379">
        <v>695850</v>
      </c>
      <c r="I379">
        <v>2142</v>
      </c>
      <c r="J379" s="97">
        <v>704050</v>
      </c>
    </row>
    <row r="380" spans="1:10" x14ac:dyDescent="0.25">
      <c r="A380">
        <v>74</v>
      </c>
      <c r="B380" t="s">
        <v>162</v>
      </c>
      <c r="C380" s="136">
        <v>46029</v>
      </c>
      <c r="D380">
        <v>4531</v>
      </c>
      <c r="E380">
        <v>10</v>
      </c>
      <c r="F380">
        <v>5600</v>
      </c>
      <c r="G380">
        <v>2177</v>
      </c>
      <c r="H380">
        <v>720046</v>
      </c>
      <c r="I380">
        <v>2187</v>
      </c>
      <c r="J380" s="97">
        <v>725646</v>
      </c>
    </row>
    <row r="381" spans="1:10" x14ac:dyDescent="0.25">
      <c r="A381">
        <v>74</v>
      </c>
      <c r="B381" t="s">
        <v>162</v>
      </c>
      <c r="C381" s="136">
        <v>46030</v>
      </c>
      <c r="D381">
        <v>4532</v>
      </c>
      <c r="E381">
        <v>19</v>
      </c>
      <c r="F381">
        <v>9200</v>
      </c>
      <c r="G381">
        <v>1964</v>
      </c>
      <c r="H381">
        <v>679966</v>
      </c>
      <c r="I381">
        <v>1983</v>
      </c>
      <c r="J381" s="97">
        <v>689166</v>
      </c>
    </row>
    <row r="382" spans="1:10" x14ac:dyDescent="0.25">
      <c r="A382">
        <v>74</v>
      </c>
      <c r="B382" t="s">
        <v>162</v>
      </c>
      <c r="C382" s="136">
        <v>46031</v>
      </c>
      <c r="D382">
        <v>4533</v>
      </c>
      <c r="E382">
        <v>8</v>
      </c>
      <c r="F382">
        <v>5000</v>
      </c>
      <c r="G382">
        <v>2085</v>
      </c>
      <c r="H382">
        <v>743876</v>
      </c>
      <c r="I382">
        <v>2093</v>
      </c>
      <c r="J382" s="97">
        <v>748876</v>
      </c>
    </row>
    <row r="383" spans="1:10" x14ac:dyDescent="0.25">
      <c r="A383">
        <v>74</v>
      </c>
      <c r="B383" t="s">
        <v>162</v>
      </c>
      <c r="C383" s="136">
        <v>46032</v>
      </c>
      <c r="D383">
        <v>4534</v>
      </c>
      <c r="E383">
        <v>15</v>
      </c>
      <c r="F383">
        <v>7850</v>
      </c>
      <c r="G383">
        <v>3278</v>
      </c>
      <c r="H383">
        <v>887100</v>
      </c>
      <c r="I383">
        <v>3293</v>
      </c>
      <c r="J383" s="97">
        <v>894950</v>
      </c>
    </row>
    <row r="384" spans="1:10" x14ac:dyDescent="0.25">
      <c r="A384">
        <v>74</v>
      </c>
      <c r="B384" t="s">
        <v>162</v>
      </c>
      <c r="C384" s="136">
        <v>46034</v>
      </c>
      <c r="D384">
        <v>4535</v>
      </c>
      <c r="E384">
        <v>8</v>
      </c>
      <c r="F384">
        <v>5250</v>
      </c>
      <c r="G384">
        <v>2011</v>
      </c>
      <c r="H384">
        <v>657679</v>
      </c>
      <c r="I384">
        <v>2019</v>
      </c>
      <c r="J384" s="97">
        <v>662929</v>
      </c>
    </row>
    <row r="385" spans="1:10" x14ac:dyDescent="0.25">
      <c r="A385">
        <v>74</v>
      </c>
      <c r="B385" t="s">
        <v>162</v>
      </c>
      <c r="C385" s="136">
        <v>46035</v>
      </c>
      <c r="D385">
        <v>4536</v>
      </c>
      <c r="E385">
        <v>9</v>
      </c>
      <c r="F385">
        <v>6200</v>
      </c>
      <c r="G385">
        <v>2318</v>
      </c>
      <c r="H385">
        <v>735316</v>
      </c>
      <c r="I385">
        <v>2327</v>
      </c>
      <c r="J385" s="97">
        <v>741516</v>
      </c>
    </row>
    <row r="386" spans="1:10" x14ac:dyDescent="0.25">
      <c r="A386">
        <v>74</v>
      </c>
      <c r="B386" t="s">
        <v>162</v>
      </c>
      <c r="C386" s="136">
        <v>46036</v>
      </c>
      <c r="D386">
        <v>4537</v>
      </c>
      <c r="E386">
        <v>12</v>
      </c>
      <c r="F386">
        <v>7650</v>
      </c>
      <c r="G386">
        <v>2262</v>
      </c>
      <c r="H386">
        <v>742127</v>
      </c>
      <c r="I386">
        <v>2274</v>
      </c>
      <c r="J386" s="97">
        <v>749777</v>
      </c>
    </row>
    <row r="387" spans="1:10" x14ac:dyDescent="0.25">
      <c r="A387">
        <v>74</v>
      </c>
      <c r="B387" t="s">
        <v>162</v>
      </c>
      <c r="C387" s="136">
        <v>46037</v>
      </c>
      <c r="D387">
        <v>4538</v>
      </c>
      <c r="E387">
        <v>111</v>
      </c>
      <c r="F387">
        <v>86200</v>
      </c>
      <c r="G387">
        <v>2165</v>
      </c>
      <c r="H387">
        <v>736431</v>
      </c>
      <c r="I387">
        <v>2276</v>
      </c>
      <c r="J387" s="97">
        <v>822631</v>
      </c>
    </row>
    <row r="388" spans="1:10" x14ac:dyDescent="0.25">
      <c r="A388">
        <v>74</v>
      </c>
      <c r="B388" t="s">
        <v>162</v>
      </c>
      <c r="C388" s="136">
        <v>46038</v>
      </c>
      <c r="D388">
        <v>4539</v>
      </c>
      <c r="E388">
        <v>17</v>
      </c>
      <c r="F388">
        <v>8400</v>
      </c>
      <c r="G388">
        <v>2309</v>
      </c>
      <c r="H388">
        <v>764905</v>
      </c>
      <c r="I388">
        <v>2326</v>
      </c>
      <c r="J388" s="97">
        <v>773305</v>
      </c>
    </row>
    <row r="389" spans="1:10" x14ac:dyDescent="0.25">
      <c r="A389">
        <v>74</v>
      </c>
      <c r="B389" t="s">
        <v>162</v>
      </c>
      <c r="C389" s="136">
        <v>46039</v>
      </c>
      <c r="D389">
        <v>4540</v>
      </c>
      <c r="E389">
        <v>22</v>
      </c>
      <c r="F389">
        <v>11550</v>
      </c>
      <c r="G389">
        <v>2573</v>
      </c>
      <c r="H389">
        <v>796529</v>
      </c>
      <c r="I389">
        <v>2595</v>
      </c>
      <c r="J389" s="97">
        <v>808079</v>
      </c>
    </row>
    <row r="390" spans="1:10" x14ac:dyDescent="0.25">
      <c r="A390">
        <v>74</v>
      </c>
      <c r="B390" t="s">
        <v>162</v>
      </c>
      <c r="C390" s="136">
        <v>46041</v>
      </c>
      <c r="D390">
        <v>4541</v>
      </c>
      <c r="E390">
        <v>20</v>
      </c>
      <c r="F390">
        <v>8525</v>
      </c>
      <c r="G390">
        <v>1837</v>
      </c>
      <c r="H390">
        <v>600813</v>
      </c>
      <c r="I390">
        <v>1857</v>
      </c>
      <c r="J390" s="97">
        <v>609338</v>
      </c>
    </row>
    <row r="391" spans="1:10" x14ac:dyDescent="0.25">
      <c r="A391">
        <v>74</v>
      </c>
      <c r="B391" t="s">
        <v>162</v>
      </c>
      <c r="C391" s="136">
        <v>46042</v>
      </c>
      <c r="D391">
        <v>4542</v>
      </c>
      <c r="E391">
        <v>21</v>
      </c>
      <c r="F391">
        <v>6650</v>
      </c>
      <c r="G391">
        <v>1908</v>
      </c>
      <c r="H391">
        <v>654410</v>
      </c>
      <c r="I391">
        <v>1929</v>
      </c>
      <c r="J391" s="97">
        <v>661060</v>
      </c>
    </row>
    <row r="392" spans="1:10" x14ac:dyDescent="0.25">
      <c r="A392">
        <v>74</v>
      </c>
      <c r="B392" t="s">
        <v>162</v>
      </c>
      <c r="C392" s="136">
        <v>46043</v>
      </c>
      <c r="D392">
        <v>4543</v>
      </c>
      <c r="E392">
        <v>17</v>
      </c>
      <c r="F392">
        <v>9600</v>
      </c>
      <c r="G392">
        <v>2164</v>
      </c>
      <c r="H392">
        <v>705185</v>
      </c>
      <c r="I392">
        <v>2181</v>
      </c>
      <c r="J392" s="97">
        <v>714785</v>
      </c>
    </row>
    <row r="393" spans="1:10" x14ac:dyDescent="0.25">
      <c r="A393">
        <v>74</v>
      </c>
      <c r="B393" t="s">
        <v>162</v>
      </c>
      <c r="C393" s="136">
        <v>46044</v>
      </c>
      <c r="D393">
        <v>4544</v>
      </c>
      <c r="E393">
        <v>13</v>
      </c>
      <c r="F393">
        <v>7500</v>
      </c>
      <c r="G393">
        <v>2297</v>
      </c>
      <c r="H393">
        <v>740681</v>
      </c>
      <c r="I393">
        <v>2310</v>
      </c>
      <c r="J393" s="97">
        <v>748181</v>
      </c>
    </row>
    <row r="394" spans="1:10" x14ac:dyDescent="0.25">
      <c r="A394">
        <v>74</v>
      </c>
      <c r="B394" t="s">
        <v>162</v>
      </c>
      <c r="C394" s="136">
        <v>46045</v>
      </c>
      <c r="D394">
        <v>4545</v>
      </c>
      <c r="E394">
        <v>20</v>
      </c>
      <c r="F394">
        <v>10666</v>
      </c>
      <c r="G394">
        <v>2024</v>
      </c>
      <c r="H394">
        <v>679544</v>
      </c>
      <c r="I394">
        <v>2044</v>
      </c>
      <c r="J394" s="97">
        <v>690210</v>
      </c>
    </row>
    <row r="395" spans="1:10" x14ac:dyDescent="0.25">
      <c r="A395">
        <v>74</v>
      </c>
      <c r="B395" t="s">
        <v>162</v>
      </c>
      <c r="C395" s="136">
        <v>46046</v>
      </c>
      <c r="D395">
        <v>4546</v>
      </c>
      <c r="E395">
        <v>26</v>
      </c>
      <c r="F395">
        <v>15055</v>
      </c>
      <c r="G395">
        <v>3247</v>
      </c>
      <c r="H395">
        <v>834335</v>
      </c>
      <c r="I395">
        <v>3273</v>
      </c>
      <c r="J395" s="97">
        <v>849390</v>
      </c>
    </row>
    <row r="396" spans="1:10" x14ac:dyDescent="0.25">
      <c r="A396">
        <v>74</v>
      </c>
      <c r="B396" t="s">
        <v>162</v>
      </c>
      <c r="C396" s="136">
        <v>46048</v>
      </c>
      <c r="D396">
        <v>4547</v>
      </c>
      <c r="E396">
        <v>12</v>
      </c>
      <c r="F396">
        <v>7400</v>
      </c>
      <c r="G396">
        <v>2014</v>
      </c>
      <c r="H396">
        <v>705453</v>
      </c>
      <c r="I396">
        <v>2026</v>
      </c>
      <c r="J396" s="97">
        <v>712853</v>
      </c>
    </row>
    <row r="397" spans="1:10" x14ac:dyDescent="0.25">
      <c r="A397">
        <v>74</v>
      </c>
      <c r="B397" t="s">
        <v>162</v>
      </c>
      <c r="C397" s="136">
        <v>46049</v>
      </c>
      <c r="D397">
        <v>4548</v>
      </c>
      <c r="E397">
        <v>19</v>
      </c>
      <c r="F397">
        <v>7200</v>
      </c>
      <c r="G397">
        <v>2083</v>
      </c>
      <c r="H397">
        <v>711564</v>
      </c>
      <c r="I397">
        <v>2102</v>
      </c>
      <c r="J397" s="97">
        <v>718764</v>
      </c>
    </row>
    <row r="398" spans="1:10" x14ac:dyDescent="0.25">
      <c r="A398">
        <v>74</v>
      </c>
      <c r="B398" t="s">
        <v>162</v>
      </c>
      <c r="C398" s="136">
        <v>46050</v>
      </c>
      <c r="D398">
        <v>4549</v>
      </c>
      <c r="E398">
        <v>40</v>
      </c>
      <c r="F398">
        <v>13300</v>
      </c>
      <c r="G398">
        <v>2129</v>
      </c>
      <c r="H398">
        <v>743581</v>
      </c>
      <c r="I398">
        <v>2169</v>
      </c>
      <c r="J398" s="97">
        <v>756881</v>
      </c>
    </row>
    <row r="399" spans="1:10" x14ac:dyDescent="0.25">
      <c r="A399">
        <v>74</v>
      </c>
      <c r="B399" t="s">
        <v>162</v>
      </c>
      <c r="C399" s="136">
        <v>46051</v>
      </c>
      <c r="D399">
        <v>4550</v>
      </c>
      <c r="E399">
        <v>27</v>
      </c>
      <c r="F399">
        <v>6200</v>
      </c>
      <c r="G399">
        <v>2099</v>
      </c>
      <c r="H399">
        <v>754080</v>
      </c>
      <c r="I399">
        <v>2126</v>
      </c>
      <c r="J399" s="97">
        <v>760280</v>
      </c>
    </row>
    <row r="400" spans="1:10" x14ac:dyDescent="0.25">
      <c r="A400">
        <v>74</v>
      </c>
      <c r="B400" t="s">
        <v>162</v>
      </c>
      <c r="C400" s="136">
        <v>46052</v>
      </c>
      <c r="D400">
        <v>4551</v>
      </c>
      <c r="E400">
        <v>23</v>
      </c>
      <c r="F400">
        <v>8950</v>
      </c>
      <c r="G400">
        <v>2072</v>
      </c>
      <c r="H400">
        <v>691247</v>
      </c>
      <c r="I400">
        <v>2095</v>
      </c>
      <c r="J400" s="97">
        <v>700197</v>
      </c>
    </row>
    <row r="401" spans="1:10" x14ac:dyDescent="0.25">
      <c r="A401">
        <v>74</v>
      </c>
      <c r="B401" t="s">
        <v>162</v>
      </c>
      <c r="C401" s="136">
        <v>46053</v>
      </c>
      <c r="D401">
        <v>4552</v>
      </c>
      <c r="E401">
        <v>35</v>
      </c>
      <c r="F401">
        <v>15250</v>
      </c>
      <c r="G401">
        <v>3633</v>
      </c>
      <c r="H401">
        <v>974155</v>
      </c>
      <c r="I401">
        <v>3668</v>
      </c>
      <c r="J401" s="97">
        <v>989405</v>
      </c>
    </row>
  </sheetData>
  <autoFilter ref="A1:G867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460"/>
  <sheetViews>
    <sheetView workbookViewId="0">
      <selection activeCell="D2" sqref="D2:D11"/>
    </sheetView>
  </sheetViews>
  <sheetFormatPr baseColWidth="10" defaultRowHeight="15" x14ac:dyDescent="0.25"/>
  <cols>
    <col min="1" max="1" width="23.5703125" customWidth="1"/>
    <col min="2" max="3" width="10.85546875"/>
    <col min="4" max="4" width="21.28515625" style="98" customWidth="1"/>
    <col min="5" max="6" width="10.85546875"/>
    <col min="8" max="8" width="14.7109375" bestFit="1" customWidth="1"/>
    <col min="9" max="9" width="42.28515625" customWidth="1"/>
    <col min="10" max="10" width="14.7109375" bestFit="1" customWidth="1"/>
    <col min="11" max="11" width="12.7109375" bestFit="1" customWidth="1"/>
  </cols>
  <sheetData>
    <row r="1" spans="1:11" x14ac:dyDescent="0.25">
      <c r="A1" t="s">
        <v>48</v>
      </c>
      <c r="B1" t="s">
        <v>122</v>
      </c>
      <c r="D1" s="98" t="s">
        <v>123</v>
      </c>
      <c r="E1" s="98" t="s">
        <v>124</v>
      </c>
      <c r="F1" s="159"/>
    </row>
    <row r="2" spans="1:11" x14ac:dyDescent="0.25">
      <c r="A2" t="s">
        <v>214</v>
      </c>
      <c r="B2">
        <v>26001</v>
      </c>
      <c r="C2">
        <v>4012025</v>
      </c>
      <c r="D2">
        <v>51851230</v>
      </c>
      <c r="F2">
        <v>8</v>
      </c>
      <c r="G2" t="str">
        <f t="shared" ref="G2:G19" si="0">IF(A2&lt;&gt;"",IF(IF(A2=A1,IF(B2&lt;&gt;B1,IF(B2-B1=1,"ok","MIRAR"),""),"CAMBIA JUEGO OK")="","mirar",IF(A2=A1,IF(B2&lt;&gt;B1,IF(B2-B1=1,"ok","MIRAR"),""),"CAMBIA JUEGO OK")),"")</f>
        <v>CAMBIA JUEGO OK</v>
      </c>
      <c r="K2" s="119"/>
    </row>
    <row r="3" spans="1:11" x14ac:dyDescent="0.25">
      <c r="A3" t="s">
        <v>214</v>
      </c>
      <c r="B3">
        <f>B2+1</f>
        <v>26002</v>
      </c>
      <c r="C3">
        <v>6012025</v>
      </c>
      <c r="D3">
        <v>43098528</v>
      </c>
      <c r="F3">
        <v>8</v>
      </c>
      <c r="G3" t="str">
        <f t="shared" si="0"/>
        <v>ok</v>
      </c>
      <c r="K3" s="119"/>
    </row>
    <row r="4" spans="1:11" ht="14.45" customHeight="1" x14ac:dyDescent="0.25">
      <c r="A4" t="s">
        <v>214</v>
      </c>
      <c r="B4">
        <f t="shared" ref="B4:B11" si="1">B3+1</f>
        <v>26003</v>
      </c>
      <c r="C4">
        <v>10012025</v>
      </c>
      <c r="D4">
        <v>47244828</v>
      </c>
      <c r="F4">
        <v>8</v>
      </c>
      <c r="G4" t="str">
        <f t="shared" si="0"/>
        <v>ok</v>
      </c>
      <c r="I4" s="216" t="s">
        <v>216</v>
      </c>
      <c r="K4" s="119"/>
    </row>
    <row r="5" spans="1:11" x14ac:dyDescent="0.25">
      <c r="A5" t="s">
        <v>214</v>
      </c>
      <c r="B5">
        <f t="shared" si="1"/>
        <v>26004</v>
      </c>
      <c r="C5">
        <v>12012025</v>
      </c>
      <c r="D5">
        <v>40411746</v>
      </c>
      <c r="F5">
        <v>8</v>
      </c>
      <c r="G5" t="str">
        <f t="shared" si="0"/>
        <v>ok</v>
      </c>
      <c r="I5" s="216"/>
      <c r="K5" s="119"/>
    </row>
    <row r="6" spans="1:11" x14ac:dyDescent="0.25">
      <c r="A6" t="s">
        <v>214</v>
      </c>
      <c r="B6">
        <f t="shared" si="1"/>
        <v>26005</v>
      </c>
      <c r="C6">
        <v>13012025</v>
      </c>
      <c r="D6">
        <v>38166467</v>
      </c>
      <c r="F6">
        <v>8</v>
      </c>
      <c r="G6" t="str">
        <f t="shared" si="0"/>
        <v>ok</v>
      </c>
      <c r="I6" s="216"/>
      <c r="K6" s="119"/>
    </row>
    <row r="7" spans="1:11" x14ac:dyDescent="0.25">
      <c r="A7" t="s">
        <v>214</v>
      </c>
      <c r="B7">
        <f t="shared" si="1"/>
        <v>26006</v>
      </c>
      <c r="C7">
        <v>18012025</v>
      </c>
      <c r="D7">
        <v>18403615</v>
      </c>
      <c r="F7">
        <v>8</v>
      </c>
      <c r="G7" t="str">
        <f t="shared" si="0"/>
        <v>ok</v>
      </c>
      <c r="I7" s="216"/>
      <c r="K7" s="119"/>
    </row>
    <row r="8" spans="1:11" x14ac:dyDescent="0.25">
      <c r="A8" t="s">
        <v>214</v>
      </c>
      <c r="B8">
        <f t="shared" si="1"/>
        <v>26007</v>
      </c>
      <c r="C8">
        <v>20012025</v>
      </c>
      <c r="D8">
        <v>40232597</v>
      </c>
      <c r="F8">
        <v>8</v>
      </c>
      <c r="G8" t="str">
        <f t="shared" si="0"/>
        <v>ok</v>
      </c>
      <c r="I8" s="216"/>
      <c r="K8" s="119"/>
    </row>
    <row r="9" spans="1:11" x14ac:dyDescent="0.25">
      <c r="A9" t="s">
        <v>214</v>
      </c>
      <c r="B9">
        <f t="shared" si="1"/>
        <v>26008</v>
      </c>
      <c r="C9">
        <v>24012025</v>
      </c>
      <c r="D9">
        <v>42284418</v>
      </c>
      <c r="F9">
        <v>8</v>
      </c>
      <c r="G9" t="str">
        <f t="shared" si="0"/>
        <v>ok</v>
      </c>
      <c r="I9" s="216"/>
      <c r="K9" s="119"/>
    </row>
    <row r="10" spans="1:11" x14ac:dyDescent="0.25">
      <c r="A10" t="s">
        <v>214</v>
      </c>
      <c r="B10">
        <f t="shared" si="1"/>
        <v>26009</v>
      </c>
      <c r="C10">
        <v>27012025</v>
      </c>
      <c r="D10">
        <v>34823882</v>
      </c>
      <c r="F10">
        <v>8</v>
      </c>
      <c r="G10" t="str">
        <f t="shared" si="0"/>
        <v>ok</v>
      </c>
      <c r="I10" s="216"/>
      <c r="K10" s="119"/>
    </row>
    <row r="11" spans="1:11" x14ac:dyDescent="0.25">
      <c r="A11" t="s">
        <v>214</v>
      </c>
      <c r="B11">
        <f t="shared" si="1"/>
        <v>26010</v>
      </c>
      <c r="C11">
        <v>31012025</v>
      </c>
      <c r="D11">
        <v>47383716</v>
      </c>
      <c r="F11">
        <v>8</v>
      </c>
      <c r="G11" t="str">
        <f>IF(A11&lt;&gt;"",IF(IF(A11=A10,IF(B11&lt;&gt;B10,IF(B11-B10=1,"ok","MIRAR"),""),"CAMBIA JUEGO OK")="","mirar",IF(A11=A10,IF(B11&lt;&gt;B10,IF(B11-B10=1,"ok","MIRAR"),""),"CAMBIA JUEGO OK")),"")</f>
        <v>ok</v>
      </c>
      <c r="H11" s="101"/>
      <c r="I11" s="216"/>
      <c r="K11" s="119"/>
    </row>
    <row r="12" spans="1:11" x14ac:dyDescent="0.25">
      <c r="D12"/>
      <c r="G12" t="str">
        <f t="shared" si="0"/>
        <v/>
      </c>
      <c r="I12" s="216"/>
    </row>
    <row r="13" spans="1:11" x14ac:dyDescent="0.25">
      <c r="D13" s="115">
        <f>SUM(D2:D12)</f>
        <v>403901027</v>
      </c>
      <c r="G13" t="str">
        <f t="shared" si="0"/>
        <v/>
      </c>
    </row>
    <row r="14" spans="1:11" x14ac:dyDescent="0.25">
      <c r="D14"/>
      <c r="G14" t="str">
        <f t="shared" si="0"/>
        <v/>
      </c>
    </row>
    <row r="15" spans="1:11" x14ac:dyDescent="0.25">
      <c r="D15"/>
      <c r="G15" t="str">
        <f t="shared" si="0"/>
        <v/>
      </c>
    </row>
    <row r="16" spans="1:11" x14ac:dyDescent="0.25">
      <c r="D16"/>
      <c r="G16" t="str">
        <f t="shared" si="0"/>
        <v/>
      </c>
    </row>
    <row r="17" spans="4:7" x14ac:dyDescent="0.25">
      <c r="D17"/>
      <c r="G17" t="str">
        <f t="shared" si="0"/>
        <v/>
      </c>
    </row>
    <row r="18" spans="4:7" x14ac:dyDescent="0.25">
      <c r="D18"/>
      <c r="G18" t="str">
        <f t="shared" si="0"/>
        <v/>
      </c>
    </row>
    <row r="19" spans="4:7" x14ac:dyDescent="0.25">
      <c r="D19"/>
      <c r="G19" t="str">
        <f t="shared" si="0"/>
        <v/>
      </c>
    </row>
    <row r="20" spans="4:7" x14ac:dyDescent="0.25">
      <c r="D20"/>
      <c r="G20" t="str">
        <f t="shared" ref="G20:G41" si="2">IF(A20=A19,IF(B20&lt;&gt;B19,IF(B20-B19=1,"ok","MIRAR"),""),"CAMBIA JUEGO OK")</f>
        <v/>
      </c>
    </row>
    <row r="21" spans="4:7" x14ac:dyDescent="0.25">
      <c r="G21" t="str">
        <f t="shared" si="2"/>
        <v/>
      </c>
    </row>
    <row r="22" spans="4:7" x14ac:dyDescent="0.25">
      <c r="G22" t="str">
        <f t="shared" si="2"/>
        <v/>
      </c>
    </row>
    <row r="23" spans="4:7" x14ac:dyDescent="0.25">
      <c r="G23" t="str">
        <f t="shared" si="2"/>
        <v/>
      </c>
    </row>
    <row r="24" spans="4:7" x14ac:dyDescent="0.25">
      <c r="G24" t="str">
        <f t="shared" si="2"/>
        <v/>
      </c>
    </row>
    <row r="25" spans="4:7" x14ac:dyDescent="0.25">
      <c r="G25" t="str">
        <f t="shared" si="2"/>
        <v/>
      </c>
    </row>
    <row r="26" spans="4:7" x14ac:dyDescent="0.25">
      <c r="G26" t="str">
        <f t="shared" si="2"/>
        <v/>
      </c>
    </row>
    <row r="27" spans="4:7" x14ac:dyDescent="0.25">
      <c r="G27" t="str">
        <f t="shared" si="2"/>
        <v/>
      </c>
    </row>
    <row r="28" spans="4:7" x14ac:dyDescent="0.25">
      <c r="G28" t="str">
        <f t="shared" si="2"/>
        <v/>
      </c>
    </row>
    <row r="29" spans="4:7" x14ac:dyDescent="0.25">
      <c r="G29" t="str">
        <f t="shared" si="2"/>
        <v/>
      </c>
    </row>
    <row r="30" spans="4:7" x14ac:dyDescent="0.25">
      <c r="G30" t="str">
        <f t="shared" si="2"/>
        <v/>
      </c>
    </row>
    <row r="31" spans="4:7" x14ac:dyDescent="0.25">
      <c r="G31" t="str">
        <f t="shared" si="2"/>
        <v/>
      </c>
    </row>
    <row r="32" spans="4:7" x14ac:dyDescent="0.25">
      <c r="G32" t="str">
        <f t="shared" si="2"/>
        <v/>
      </c>
    </row>
    <row r="33" spans="7:7" x14ac:dyDescent="0.25">
      <c r="G33" t="str">
        <f t="shared" si="2"/>
        <v/>
      </c>
    </row>
    <row r="34" spans="7:7" x14ac:dyDescent="0.25">
      <c r="G34" t="str">
        <f t="shared" si="2"/>
        <v/>
      </c>
    </row>
    <row r="35" spans="7:7" x14ac:dyDescent="0.25">
      <c r="G35" t="str">
        <f t="shared" si="2"/>
        <v/>
      </c>
    </row>
    <row r="36" spans="7:7" x14ac:dyDescent="0.25">
      <c r="G36" t="str">
        <f t="shared" si="2"/>
        <v/>
      </c>
    </row>
    <row r="37" spans="7:7" x14ac:dyDescent="0.25">
      <c r="G37" t="str">
        <f t="shared" si="2"/>
        <v/>
      </c>
    </row>
    <row r="38" spans="7:7" x14ac:dyDescent="0.25">
      <c r="G38" t="str">
        <f t="shared" si="2"/>
        <v/>
      </c>
    </row>
    <row r="39" spans="7:7" x14ac:dyDescent="0.25">
      <c r="G39" t="str">
        <f t="shared" si="2"/>
        <v/>
      </c>
    </row>
    <row r="40" spans="7:7" x14ac:dyDescent="0.25">
      <c r="G40" t="str">
        <f t="shared" si="2"/>
        <v/>
      </c>
    </row>
    <row r="41" spans="7:7" x14ac:dyDescent="0.25">
      <c r="G41" t="str">
        <f t="shared" si="2"/>
        <v/>
      </c>
    </row>
    <row r="42" spans="7:7" x14ac:dyDescent="0.25">
      <c r="G42" t="str">
        <f t="shared" ref="G42:G69" si="3">IF(A42=A41,IF(B42&lt;&gt;B41,IF(B42-B41=1,"ok","MIRAR"),""),"CAMBIA JUEGO OK")</f>
        <v/>
      </c>
    </row>
    <row r="43" spans="7:7" x14ac:dyDescent="0.25">
      <c r="G43" t="str">
        <f t="shared" si="3"/>
        <v/>
      </c>
    </row>
    <row r="44" spans="7:7" x14ac:dyDescent="0.25">
      <c r="G44" t="str">
        <f t="shared" si="3"/>
        <v/>
      </c>
    </row>
    <row r="45" spans="7:7" x14ac:dyDescent="0.25">
      <c r="G45" t="str">
        <f t="shared" si="3"/>
        <v/>
      </c>
    </row>
    <row r="46" spans="7:7" x14ac:dyDescent="0.25">
      <c r="G46" t="str">
        <f t="shared" si="3"/>
        <v/>
      </c>
    </row>
    <row r="47" spans="7:7" x14ac:dyDescent="0.25">
      <c r="G47" t="str">
        <f t="shared" si="3"/>
        <v/>
      </c>
    </row>
    <row r="48" spans="7:7" x14ac:dyDescent="0.25">
      <c r="G48" t="str">
        <f t="shared" si="3"/>
        <v/>
      </c>
    </row>
    <row r="49" spans="7:7" x14ac:dyDescent="0.25">
      <c r="G49" t="str">
        <f t="shared" si="3"/>
        <v/>
      </c>
    </row>
    <row r="50" spans="7:7" x14ac:dyDescent="0.25">
      <c r="G50" t="str">
        <f t="shared" si="3"/>
        <v/>
      </c>
    </row>
    <row r="51" spans="7:7" x14ac:dyDescent="0.25">
      <c r="G51" t="str">
        <f t="shared" si="3"/>
        <v/>
      </c>
    </row>
    <row r="52" spans="7:7" x14ac:dyDescent="0.25">
      <c r="G52" t="str">
        <f t="shared" si="3"/>
        <v/>
      </c>
    </row>
    <row r="53" spans="7:7" x14ac:dyDescent="0.25">
      <c r="G53" t="str">
        <f t="shared" si="3"/>
        <v/>
      </c>
    </row>
    <row r="54" spans="7:7" x14ac:dyDescent="0.25">
      <c r="G54" t="str">
        <f t="shared" si="3"/>
        <v/>
      </c>
    </row>
    <row r="55" spans="7:7" x14ac:dyDescent="0.25">
      <c r="G55" t="str">
        <f t="shared" si="3"/>
        <v/>
      </c>
    </row>
    <row r="56" spans="7:7" x14ac:dyDescent="0.25">
      <c r="G56" t="str">
        <f t="shared" si="3"/>
        <v/>
      </c>
    </row>
    <row r="57" spans="7:7" x14ac:dyDescent="0.25">
      <c r="G57" t="str">
        <f t="shared" si="3"/>
        <v/>
      </c>
    </row>
    <row r="58" spans="7:7" x14ac:dyDescent="0.25">
      <c r="G58" t="str">
        <f t="shared" si="3"/>
        <v/>
      </c>
    </row>
    <row r="59" spans="7:7" x14ac:dyDescent="0.25">
      <c r="G59" t="str">
        <f t="shared" si="3"/>
        <v/>
      </c>
    </row>
    <row r="60" spans="7:7" x14ac:dyDescent="0.25">
      <c r="G60" t="str">
        <f t="shared" si="3"/>
        <v/>
      </c>
    </row>
    <row r="61" spans="7:7" x14ac:dyDescent="0.25">
      <c r="G61" t="str">
        <f t="shared" si="3"/>
        <v/>
      </c>
    </row>
    <row r="62" spans="7:7" x14ac:dyDescent="0.25">
      <c r="G62" t="str">
        <f t="shared" si="3"/>
        <v/>
      </c>
    </row>
    <row r="63" spans="7:7" x14ac:dyDescent="0.25">
      <c r="G63" t="str">
        <f t="shared" si="3"/>
        <v/>
      </c>
    </row>
    <row r="64" spans="7:7" x14ac:dyDescent="0.25">
      <c r="G64" t="str">
        <f t="shared" si="3"/>
        <v/>
      </c>
    </row>
    <row r="65" spans="7:7" x14ac:dyDescent="0.25">
      <c r="G65" t="str">
        <f t="shared" si="3"/>
        <v/>
      </c>
    </row>
    <row r="66" spans="7:7" x14ac:dyDescent="0.25">
      <c r="G66" t="str">
        <f t="shared" si="3"/>
        <v/>
      </c>
    </row>
    <row r="67" spans="7:7" x14ac:dyDescent="0.25">
      <c r="G67" t="str">
        <f t="shared" si="3"/>
        <v/>
      </c>
    </row>
    <row r="68" spans="7:7" x14ac:dyDescent="0.25">
      <c r="G68" t="str">
        <f t="shared" si="3"/>
        <v/>
      </c>
    </row>
    <row r="69" spans="7:7" x14ac:dyDescent="0.25">
      <c r="G69" t="str">
        <f t="shared" si="3"/>
        <v/>
      </c>
    </row>
    <row r="70" spans="7:7" x14ac:dyDescent="0.25">
      <c r="G70" t="str">
        <f t="shared" ref="G70:G133" si="4">IF(A70=A69,IF(B70&lt;&gt;B69,IF(B70-B69=1,"ok","MIRAR"),""),"CAMBIA JUEGO OK")</f>
        <v/>
      </c>
    </row>
    <row r="71" spans="7:7" x14ac:dyDescent="0.25">
      <c r="G71" t="str">
        <f t="shared" si="4"/>
        <v/>
      </c>
    </row>
    <row r="72" spans="7:7" x14ac:dyDescent="0.25">
      <c r="G72" t="str">
        <f t="shared" si="4"/>
        <v/>
      </c>
    </row>
    <row r="73" spans="7:7" x14ac:dyDescent="0.25">
      <c r="G73" t="str">
        <f t="shared" si="4"/>
        <v/>
      </c>
    </row>
    <row r="74" spans="7:7" x14ac:dyDescent="0.25">
      <c r="G74" t="str">
        <f t="shared" si="4"/>
        <v/>
      </c>
    </row>
    <row r="75" spans="7:7" x14ac:dyDescent="0.25">
      <c r="G75" t="str">
        <f t="shared" si="4"/>
        <v/>
      </c>
    </row>
    <row r="76" spans="7:7" x14ac:dyDescent="0.25">
      <c r="G76" t="str">
        <f t="shared" si="4"/>
        <v/>
      </c>
    </row>
    <row r="77" spans="7:7" x14ac:dyDescent="0.25">
      <c r="G77" t="str">
        <f t="shared" si="4"/>
        <v/>
      </c>
    </row>
    <row r="78" spans="7:7" x14ac:dyDescent="0.25">
      <c r="G78" t="str">
        <f t="shared" si="4"/>
        <v/>
      </c>
    </row>
    <row r="79" spans="7:7" x14ac:dyDescent="0.25">
      <c r="G79" t="str">
        <f t="shared" si="4"/>
        <v/>
      </c>
    </row>
    <row r="80" spans="7:7" x14ac:dyDescent="0.25">
      <c r="G80" t="str">
        <f t="shared" si="4"/>
        <v/>
      </c>
    </row>
    <row r="81" spans="7:7" x14ac:dyDescent="0.25">
      <c r="G81" t="str">
        <f t="shared" si="4"/>
        <v/>
      </c>
    </row>
    <row r="82" spans="7:7" x14ac:dyDescent="0.25">
      <c r="G82" t="str">
        <f t="shared" si="4"/>
        <v/>
      </c>
    </row>
    <row r="83" spans="7:7" x14ac:dyDescent="0.25">
      <c r="G83" t="str">
        <f t="shared" si="4"/>
        <v/>
      </c>
    </row>
    <row r="84" spans="7:7" x14ac:dyDescent="0.25">
      <c r="G84" t="str">
        <f t="shared" si="4"/>
        <v/>
      </c>
    </row>
    <row r="85" spans="7:7" x14ac:dyDescent="0.25">
      <c r="G85" t="str">
        <f t="shared" si="4"/>
        <v/>
      </c>
    </row>
    <row r="86" spans="7:7" x14ac:dyDescent="0.25">
      <c r="G86" t="str">
        <f t="shared" si="4"/>
        <v/>
      </c>
    </row>
    <row r="87" spans="7:7" x14ac:dyDescent="0.25">
      <c r="G87" t="str">
        <f t="shared" si="4"/>
        <v/>
      </c>
    </row>
    <row r="88" spans="7:7" x14ac:dyDescent="0.25">
      <c r="G88" t="str">
        <f t="shared" si="4"/>
        <v/>
      </c>
    </row>
    <row r="89" spans="7:7" x14ac:dyDescent="0.25">
      <c r="G89" t="str">
        <f t="shared" si="4"/>
        <v/>
      </c>
    </row>
    <row r="90" spans="7:7" x14ac:dyDescent="0.25">
      <c r="G90" t="str">
        <f t="shared" si="4"/>
        <v/>
      </c>
    </row>
    <row r="91" spans="7:7" x14ac:dyDescent="0.25">
      <c r="G91" t="str">
        <f t="shared" si="4"/>
        <v/>
      </c>
    </row>
    <row r="92" spans="7:7" x14ac:dyDescent="0.25">
      <c r="G92" t="str">
        <f t="shared" si="4"/>
        <v/>
      </c>
    </row>
    <row r="93" spans="7:7" x14ac:dyDescent="0.25">
      <c r="G93" t="str">
        <f t="shared" si="4"/>
        <v/>
      </c>
    </row>
    <row r="94" spans="7:7" x14ac:dyDescent="0.25">
      <c r="G94" t="str">
        <f t="shared" si="4"/>
        <v/>
      </c>
    </row>
    <row r="95" spans="7:7" x14ac:dyDescent="0.25">
      <c r="G95" t="str">
        <f t="shared" si="4"/>
        <v/>
      </c>
    </row>
    <row r="96" spans="7:7" x14ac:dyDescent="0.25">
      <c r="G96" t="str">
        <f t="shared" si="4"/>
        <v/>
      </c>
    </row>
    <row r="97" spans="7:7" x14ac:dyDescent="0.25">
      <c r="G97" t="str">
        <f t="shared" si="4"/>
        <v/>
      </c>
    </row>
    <row r="98" spans="7:7" x14ac:dyDescent="0.25">
      <c r="G98" t="str">
        <f t="shared" si="4"/>
        <v/>
      </c>
    </row>
    <row r="99" spans="7:7" x14ac:dyDescent="0.25">
      <c r="G99" t="str">
        <f t="shared" si="4"/>
        <v/>
      </c>
    </row>
    <row r="100" spans="7:7" x14ac:dyDescent="0.25">
      <c r="G100" t="str">
        <f t="shared" si="4"/>
        <v/>
      </c>
    </row>
    <row r="101" spans="7:7" x14ac:dyDescent="0.25">
      <c r="G101" t="str">
        <f t="shared" si="4"/>
        <v/>
      </c>
    </row>
    <row r="102" spans="7:7" x14ac:dyDescent="0.25">
      <c r="G102" t="str">
        <f t="shared" si="4"/>
        <v/>
      </c>
    </row>
    <row r="103" spans="7:7" x14ac:dyDescent="0.25">
      <c r="G103" t="str">
        <f t="shared" si="4"/>
        <v/>
      </c>
    </row>
    <row r="104" spans="7:7" x14ac:dyDescent="0.25">
      <c r="G104" t="str">
        <f t="shared" si="4"/>
        <v/>
      </c>
    </row>
    <row r="105" spans="7:7" x14ac:dyDescent="0.25">
      <c r="G105" t="str">
        <f t="shared" si="4"/>
        <v/>
      </c>
    </row>
    <row r="106" spans="7:7" x14ac:dyDescent="0.25">
      <c r="G106" t="str">
        <f t="shared" si="4"/>
        <v/>
      </c>
    </row>
    <row r="107" spans="7:7" x14ac:dyDescent="0.25">
      <c r="G107" t="str">
        <f t="shared" si="4"/>
        <v/>
      </c>
    </row>
    <row r="108" spans="7:7" x14ac:dyDescent="0.25">
      <c r="G108" t="str">
        <f t="shared" si="4"/>
        <v/>
      </c>
    </row>
    <row r="109" spans="7:7" x14ac:dyDescent="0.25">
      <c r="G109" t="str">
        <f t="shared" si="4"/>
        <v/>
      </c>
    </row>
    <row r="110" spans="7:7" x14ac:dyDescent="0.25">
      <c r="G110" t="str">
        <f t="shared" si="4"/>
        <v/>
      </c>
    </row>
    <row r="111" spans="7:7" x14ac:dyDescent="0.25">
      <c r="G111" t="str">
        <f t="shared" si="4"/>
        <v/>
      </c>
    </row>
    <row r="112" spans="7:7" x14ac:dyDescent="0.25">
      <c r="G112" t="str">
        <f t="shared" si="4"/>
        <v/>
      </c>
    </row>
    <row r="113" spans="7:7" x14ac:dyDescent="0.25">
      <c r="G113" t="str">
        <f t="shared" si="4"/>
        <v/>
      </c>
    </row>
    <row r="114" spans="7:7" x14ac:dyDescent="0.25">
      <c r="G114" t="str">
        <f t="shared" si="4"/>
        <v/>
      </c>
    </row>
    <row r="115" spans="7:7" x14ac:dyDescent="0.25">
      <c r="G115" t="str">
        <f t="shared" si="4"/>
        <v/>
      </c>
    </row>
    <row r="116" spans="7:7" x14ac:dyDescent="0.25">
      <c r="G116" t="str">
        <f t="shared" si="4"/>
        <v/>
      </c>
    </row>
    <row r="117" spans="7:7" x14ac:dyDescent="0.25">
      <c r="G117" t="str">
        <f t="shared" si="4"/>
        <v/>
      </c>
    </row>
    <row r="118" spans="7:7" x14ac:dyDescent="0.25">
      <c r="G118" t="str">
        <f t="shared" si="4"/>
        <v/>
      </c>
    </row>
    <row r="119" spans="7:7" x14ac:dyDescent="0.25">
      <c r="G119" t="str">
        <f t="shared" si="4"/>
        <v/>
      </c>
    </row>
    <row r="120" spans="7:7" x14ac:dyDescent="0.25">
      <c r="G120" t="str">
        <f t="shared" si="4"/>
        <v/>
      </c>
    </row>
    <row r="121" spans="7:7" x14ac:dyDescent="0.25">
      <c r="G121" t="str">
        <f t="shared" si="4"/>
        <v/>
      </c>
    </row>
    <row r="122" spans="7:7" x14ac:dyDescent="0.25">
      <c r="G122" t="str">
        <f t="shared" si="4"/>
        <v/>
      </c>
    </row>
    <row r="123" spans="7:7" x14ac:dyDescent="0.25">
      <c r="G123" t="str">
        <f t="shared" si="4"/>
        <v/>
      </c>
    </row>
    <row r="124" spans="7:7" x14ac:dyDescent="0.25">
      <c r="G124" t="str">
        <f t="shared" si="4"/>
        <v/>
      </c>
    </row>
    <row r="125" spans="7:7" x14ac:dyDescent="0.25">
      <c r="G125" t="str">
        <f t="shared" si="4"/>
        <v/>
      </c>
    </row>
    <row r="126" spans="7:7" x14ac:dyDescent="0.25">
      <c r="G126" t="str">
        <f t="shared" si="4"/>
        <v/>
      </c>
    </row>
    <row r="127" spans="7:7" x14ac:dyDescent="0.25">
      <c r="G127" t="str">
        <f t="shared" si="4"/>
        <v/>
      </c>
    </row>
    <row r="128" spans="7:7" x14ac:dyDescent="0.25">
      <c r="G128" t="str">
        <f t="shared" si="4"/>
        <v/>
      </c>
    </row>
    <row r="129" spans="7:7" x14ac:dyDescent="0.25">
      <c r="G129" t="str">
        <f t="shared" si="4"/>
        <v/>
      </c>
    </row>
    <row r="130" spans="7:7" x14ac:dyDescent="0.25">
      <c r="G130" t="str">
        <f t="shared" si="4"/>
        <v/>
      </c>
    </row>
    <row r="131" spans="7:7" x14ac:dyDescent="0.25">
      <c r="G131" t="str">
        <f t="shared" si="4"/>
        <v/>
      </c>
    </row>
    <row r="132" spans="7:7" x14ac:dyDescent="0.25">
      <c r="G132" t="str">
        <f t="shared" si="4"/>
        <v/>
      </c>
    </row>
    <row r="133" spans="7:7" x14ac:dyDescent="0.25">
      <c r="G133" t="str">
        <f t="shared" si="4"/>
        <v/>
      </c>
    </row>
    <row r="134" spans="7:7" x14ac:dyDescent="0.25">
      <c r="G134" t="str">
        <f t="shared" ref="G134:G197" si="5">IF(A134=A133,IF(B134&lt;&gt;B133,IF(B134-B133=1,"ok","MIRAR"),""),"CAMBIA JUEGO OK")</f>
        <v/>
      </c>
    </row>
    <row r="135" spans="7:7" x14ac:dyDescent="0.25">
      <c r="G135" t="str">
        <f t="shared" si="5"/>
        <v/>
      </c>
    </row>
    <row r="136" spans="7:7" x14ac:dyDescent="0.25">
      <c r="G136" t="str">
        <f t="shared" si="5"/>
        <v/>
      </c>
    </row>
    <row r="137" spans="7:7" x14ac:dyDescent="0.25">
      <c r="G137" t="str">
        <f t="shared" si="5"/>
        <v/>
      </c>
    </row>
    <row r="138" spans="7:7" x14ac:dyDescent="0.25">
      <c r="G138" t="str">
        <f t="shared" si="5"/>
        <v/>
      </c>
    </row>
    <row r="139" spans="7:7" x14ac:dyDescent="0.25">
      <c r="G139" t="str">
        <f t="shared" si="5"/>
        <v/>
      </c>
    </row>
    <row r="140" spans="7:7" x14ac:dyDescent="0.25">
      <c r="G140" t="str">
        <f t="shared" si="5"/>
        <v/>
      </c>
    </row>
    <row r="141" spans="7:7" x14ac:dyDescent="0.25">
      <c r="G141" t="str">
        <f t="shared" si="5"/>
        <v/>
      </c>
    </row>
    <row r="142" spans="7:7" x14ac:dyDescent="0.25">
      <c r="G142" t="str">
        <f t="shared" si="5"/>
        <v/>
      </c>
    </row>
    <row r="143" spans="7:7" x14ac:dyDescent="0.25">
      <c r="G143" t="str">
        <f t="shared" si="5"/>
        <v/>
      </c>
    </row>
    <row r="144" spans="7:7" x14ac:dyDescent="0.25">
      <c r="G144" t="str">
        <f t="shared" si="5"/>
        <v/>
      </c>
    </row>
    <row r="145" spans="7:7" x14ac:dyDescent="0.25">
      <c r="G145" t="str">
        <f t="shared" si="5"/>
        <v/>
      </c>
    </row>
    <row r="146" spans="7:7" x14ac:dyDescent="0.25">
      <c r="G146" t="str">
        <f t="shared" si="5"/>
        <v/>
      </c>
    </row>
    <row r="147" spans="7:7" x14ac:dyDescent="0.25">
      <c r="G147" t="str">
        <f t="shared" si="5"/>
        <v/>
      </c>
    </row>
    <row r="148" spans="7:7" x14ac:dyDescent="0.25">
      <c r="G148" t="str">
        <f t="shared" si="5"/>
        <v/>
      </c>
    </row>
    <row r="149" spans="7:7" x14ac:dyDescent="0.25">
      <c r="G149" t="str">
        <f t="shared" si="5"/>
        <v/>
      </c>
    </row>
    <row r="150" spans="7:7" x14ac:dyDescent="0.25">
      <c r="G150" t="str">
        <f t="shared" si="5"/>
        <v/>
      </c>
    </row>
    <row r="151" spans="7:7" x14ac:dyDescent="0.25">
      <c r="G151" t="str">
        <f t="shared" si="5"/>
        <v/>
      </c>
    </row>
    <row r="152" spans="7:7" x14ac:dyDescent="0.25">
      <c r="G152" t="str">
        <f t="shared" si="5"/>
        <v/>
      </c>
    </row>
    <row r="153" spans="7:7" x14ac:dyDescent="0.25">
      <c r="G153" t="str">
        <f t="shared" si="5"/>
        <v/>
      </c>
    </row>
    <row r="154" spans="7:7" x14ac:dyDescent="0.25">
      <c r="G154" t="str">
        <f t="shared" si="5"/>
        <v/>
      </c>
    </row>
    <row r="155" spans="7:7" x14ac:dyDescent="0.25">
      <c r="G155" t="str">
        <f t="shared" si="5"/>
        <v/>
      </c>
    </row>
    <row r="156" spans="7:7" x14ac:dyDescent="0.25">
      <c r="G156" t="str">
        <f t="shared" si="5"/>
        <v/>
      </c>
    </row>
    <row r="157" spans="7:7" x14ac:dyDescent="0.25">
      <c r="G157" t="str">
        <f t="shared" si="5"/>
        <v/>
      </c>
    </row>
    <row r="158" spans="7:7" x14ac:dyDescent="0.25">
      <c r="G158" t="str">
        <f t="shared" si="5"/>
        <v/>
      </c>
    </row>
    <row r="159" spans="7:7" x14ac:dyDescent="0.25">
      <c r="G159" t="str">
        <f t="shared" si="5"/>
        <v/>
      </c>
    </row>
    <row r="160" spans="7:7" x14ac:dyDescent="0.25">
      <c r="G160" t="str">
        <f t="shared" si="5"/>
        <v/>
      </c>
    </row>
    <row r="161" spans="7:7" x14ac:dyDescent="0.25">
      <c r="G161" t="str">
        <f t="shared" si="5"/>
        <v/>
      </c>
    </row>
    <row r="162" spans="7:7" x14ac:dyDescent="0.25">
      <c r="G162" t="str">
        <f t="shared" si="5"/>
        <v/>
      </c>
    </row>
    <row r="163" spans="7:7" x14ac:dyDescent="0.25">
      <c r="G163" t="str">
        <f t="shared" si="5"/>
        <v/>
      </c>
    </row>
    <row r="164" spans="7:7" x14ac:dyDescent="0.25">
      <c r="G164" t="str">
        <f t="shared" si="5"/>
        <v/>
      </c>
    </row>
    <row r="165" spans="7:7" x14ac:dyDescent="0.25">
      <c r="G165" t="str">
        <f t="shared" si="5"/>
        <v/>
      </c>
    </row>
    <row r="166" spans="7:7" x14ac:dyDescent="0.25">
      <c r="G166" t="str">
        <f t="shared" si="5"/>
        <v/>
      </c>
    </row>
    <row r="167" spans="7:7" x14ac:dyDescent="0.25">
      <c r="G167" t="str">
        <f t="shared" si="5"/>
        <v/>
      </c>
    </row>
    <row r="168" spans="7:7" x14ac:dyDescent="0.25">
      <c r="G168" t="str">
        <f t="shared" si="5"/>
        <v/>
      </c>
    </row>
    <row r="169" spans="7:7" x14ac:dyDescent="0.25">
      <c r="G169" t="str">
        <f t="shared" si="5"/>
        <v/>
      </c>
    </row>
    <row r="170" spans="7:7" x14ac:dyDescent="0.25">
      <c r="G170" t="str">
        <f t="shared" si="5"/>
        <v/>
      </c>
    </row>
    <row r="171" spans="7:7" x14ac:dyDescent="0.25">
      <c r="G171" t="str">
        <f t="shared" si="5"/>
        <v/>
      </c>
    </row>
    <row r="172" spans="7:7" x14ac:dyDescent="0.25">
      <c r="G172" t="str">
        <f t="shared" si="5"/>
        <v/>
      </c>
    </row>
    <row r="173" spans="7:7" x14ac:dyDescent="0.25">
      <c r="G173" t="str">
        <f t="shared" si="5"/>
        <v/>
      </c>
    </row>
    <row r="174" spans="7:7" x14ac:dyDescent="0.25">
      <c r="G174" t="str">
        <f t="shared" si="5"/>
        <v/>
      </c>
    </row>
    <row r="175" spans="7:7" x14ac:dyDescent="0.25">
      <c r="G175" t="str">
        <f t="shared" si="5"/>
        <v/>
      </c>
    </row>
    <row r="176" spans="7:7" x14ac:dyDescent="0.25">
      <c r="G176" t="str">
        <f t="shared" si="5"/>
        <v/>
      </c>
    </row>
    <row r="177" spans="7:7" x14ac:dyDescent="0.25">
      <c r="G177" t="str">
        <f t="shared" si="5"/>
        <v/>
      </c>
    </row>
    <row r="178" spans="7:7" x14ac:dyDescent="0.25">
      <c r="G178" t="str">
        <f t="shared" si="5"/>
        <v/>
      </c>
    </row>
    <row r="179" spans="7:7" x14ac:dyDescent="0.25">
      <c r="G179" t="str">
        <f t="shared" si="5"/>
        <v/>
      </c>
    </row>
    <row r="180" spans="7:7" x14ac:dyDescent="0.25">
      <c r="G180" t="str">
        <f t="shared" si="5"/>
        <v/>
      </c>
    </row>
    <row r="181" spans="7:7" x14ac:dyDescent="0.25">
      <c r="G181" t="str">
        <f t="shared" si="5"/>
        <v/>
      </c>
    </row>
    <row r="182" spans="7:7" x14ac:dyDescent="0.25">
      <c r="G182" t="str">
        <f t="shared" si="5"/>
        <v/>
      </c>
    </row>
    <row r="183" spans="7:7" x14ac:dyDescent="0.25">
      <c r="G183" t="str">
        <f t="shared" si="5"/>
        <v/>
      </c>
    </row>
    <row r="184" spans="7:7" x14ac:dyDescent="0.25">
      <c r="G184" t="str">
        <f t="shared" si="5"/>
        <v/>
      </c>
    </row>
    <row r="185" spans="7:7" x14ac:dyDescent="0.25">
      <c r="G185" t="str">
        <f t="shared" si="5"/>
        <v/>
      </c>
    </row>
    <row r="186" spans="7:7" x14ac:dyDescent="0.25">
      <c r="G186" t="str">
        <f t="shared" si="5"/>
        <v/>
      </c>
    </row>
    <row r="187" spans="7:7" x14ac:dyDescent="0.25">
      <c r="G187" t="str">
        <f t="shared" si="5"/>
        <v/>
      </c>
    </row>
    <row r="188" spans="7:7" x14ac:dyDescent="0.25">
      <c r="G188" t="str">
        <f t="shared" si="5"/>
        <v/>
      </c>
    </row>
    <row r="189" spans="7:7" x14ac:dyDescent="0.25">
      <c r="G189" t="str">
        <f t="shared" si="5"/>
        <v/>
      </c>
    </row>
    <row r="190" spans="7:7" x14ac:dyDescent="0.25">
      <c r="G190" t="str">
        <f t="shared" si="5"/>
        <v/>
      </c>
    </row>
    <row r="191" spans="7:7" x14ac:dyDescent="0.25">
      <c r="G191" t="str">
        <f t="shared" si="5"/>
        <v/>
      </c>
    </row>
    <row r="192" spans="7:7" x14ac:dyDescent="0.25">
      <c r="G192" t="str">
        <f t="shared" si="5"/>
        <v/>
      </c>
    </row>
    <row r="193" spans="7:7" x14ac:dyDescent="0.25">
      <c r="G193" t="str">
        <f t="shared" si="5"/>
        <v/>
      </c>
    </row>
    <row r="194" spans="7:7" x14ac:dyDescent="0.25">
      <c r="G194" t="str">
        <f t="shared" si="5"/>
        <v/>
      </c>
    </row>
    <row r="195" spans="7:7" x14ac:dyDescent="0.25">
      <c r="G195" t="str">
        <f t="shared" si="5"/>
        <v/>
      </c>
    </row>
    <row r="196" spans="7:7" x14ac:dyDescent="0.25">
      <c r="G196" t="str">
        <f t="shared" si="5"/>
        <v/>
      </c>
    </row>
    <row r="197" spans="7:7" x14ac:dyDescent="0.25">
      <c r="G197" t="str">
        <f t="shared" si="5"/>
        <v/>
      </c>
    </row>
    <row r="198" spans="7:7" x14ac:dyDescent="0.25">
      <c r="G198" t="str">
        <f t="shared" ref="G198:G261" si="6">IF(A198=A197,IF(B198&lt;&gt;B197,IF(B198-B197=1,"ok","MIRAR"),""),"CAMBIA JUEGO OK")</f>
        <v/>
      </c>
    </row>
    <row r="199" spans="7:7" x14ac:dyDescent="0.25">
      <c r="G199" t="str">
        <f t="shared" si="6"/>
        <v/>
      </c>
    </row>
    <row r="200" spans="7:7" x14ac:dyDescent="0.25">
      <c r="G200" t="str">
        <f t="shared" si="6"/>
        <v/>
      </c>
    </row>
    <row r="201" spans="7:7" x14ac:dyDescent="0.25">
      <c r="G201" t="str">
        <f t="shared" si="6"/>
        <v/>
      </c>
    </row>
    <row r="202" spans="7:7" x14ac:dyDescent="0.25">
      <c r="G202" t="str">
        <f t="shared" si="6"/>
        <v/>
      </c>
    </row>
    <row r="203" spans="7:7" x14ac:dyDescent="0.25">
      <c r="G203" t="str">
        <f t="shared" si="6"/>
        <v/>
      </c>
    </row>
    <row r="204" spans="7:7" x14ac:dyDescent="0.25">
      <c r="G204" t="str">
        <f t="shared" si="6"/>
        <v/>
      </c>
    </row>
    <row r="205" spans="7:7" x14ac:dyDescent="0.25">
      <c r="G205" t="str">
        <f t="shared" si="6"/>
        <v/>
      </c>
    </row>
    <row r="206" spans="7:7" x14ac:dyDescent="0.25">
      <c r="G206" t="str">
        <f t="shared" si="6"/>
        <v/>
      </c>
    </row>
    <row r="207" spans="7:7" x14ac:dyDescent="0.25">
      <c r="G207" t="str">
        <f t="shared" si="6"/>
        <v/>
      </c>
    </row>
    <row r="208" spans="7:7" x14ac:dyDescent="0.25">
      <c r="G208" t="str">
        <f t="shared" si="6"/>
        <v/>
      </c>
    </row>
    <row r="209" spans="7:7" x14ac:dyDescent="0.25">
      <c r="G209" t="str">
        <f t="shared" si="6"/>
        <v/>
      </c>
    </row>
    <row r="210" spans="7:7" x14ac:dyDescent="0.25">
      <c r="G210" t="str">
        <f t="shared" si="6"/>
        <v/>
      </c>
    </row>
    <row r="211" spans="7:7" x14ac:dyDescent="0.25">
      <c r="G211" t="str">
        <f t="shared" si="6"/>
        <v/>
      </c>
    </row>
    <row r="212" spans="7:7" x14ac:dyDescent="0.25">
      <c r="G212" t="str">
        <f t="shared" si="6"/>
        <v/>
      </c>
    </row>
    <row r="213" spans="7:7" x14ac:dyDescent="0.25">
      <c r="G213" t="str">
        <f t="shared" si="6"/>
        <v/>
      </c>
    </row>
    <row r="214" spans="7:7" x14ac:dyDescent="0.25">
      <c r="G214" t="str">
        <f t="shared" si="6"/>
        <v/>
      </c>
    </row>
    <row r="215" spans="7:7" x14ac:dyDescent="0.25">
      <c r="G215" t="str">
        <f t="shared" si="6"/>
        <v/>
      </c>
    </row>
    <row r="216" spans="7:7" x14ac:dyDescent="0.25">
      <c r="G216" t="str">
        <f t="shared" si="6"/>
        <v/>
      </c>
    </row>
    <row r="217" spans="7:7" x14ac:dyDescent="0.25">
      <c r="G217" t="str">
        <f t="shared" si="6"/>
        <v/>
      </c>
    </row>
    <row r="218" spans="7:7" x14ac:dyDescent="0.25">
      <c r="G218" t="str">
        <f t="shared" si="6"/>
        <v/>
      </c>
    </row>
    <row r="219" spans="7:7" x14ac:dyDescent="0.25">
      <c r="G219" t="str">
        <f t="shared" si="6"/>
        <v/>
      </c>
    </row>
    <row r="220" spans="7:7" x14ac:dyDescent="0.25">
      <c r="G220" t="str">
        <f t="shared" si="6"/>
        <v/>
      </c>
    </row>
    <row r="221" spans="7:7" x14ac:dyDescent="0.25">
      <c r="G221" t="str">
        <f t="shared" si="6"/>
        <v/>
      </c>
    </row>
    <row r="222" spans="7:7" x14ac:dyDescent="0.25">
      <c r="G222" t="str">
        <f t="shared" si="6"/>
        <v/>
      </c>
    </row>
    <row r="223" spans="7:7" x14ac:dyDescent="0.25">
      <c r="G223" t="str">
        <f t="shared" si="6"/>
        <v/>
      </c>
    </row>
    <row r="224" spans="7:7" x14ac:dyDescent="0.25">
      <c r="G224" t="str">
        <f t="shared" si="6"/>
        <v/>
      </c>
    </row>
    <row r="225" spans="7:7" x14ac:dyDescent="0.25">
      <c r="G225" t="str">
        <f t="shared" si="6"/>
        <v/>
      </c>
    </row>
    <row r="226" spans="7:7" x14ac:dyDescent="0.25">
      <c r="G226" t="str">
        <f t="shared" si="6"/>
        <v/>
      </c>
    </row>
    <row r="227" spans="7:7" x14ac:dyDescent="0.25">
      <c r="G227" t="str">
        <f t="shared" si="6"/>
        <v/>
      </c>
    </row>
    <row r="228" spans="7:7" x14ac:dyDescent="0.25">
      <c r="G228" t="str">
        <f t="shared" si="6"/>
        <v/>
      </c>
    </row>
    <row r="229" spans="7:7" x14ac:dyDescent="0.25">
      <c r="G229" t="str">
        <f t="shared" si="6"/>
        <v/>
      </c>
    </row>
    <row r="230" spans="7:7" x14ac:dyDescent="0.25">
      <c r="G230" t="str">
        <f t="shared" si="6"/>
        <v/>
      </c>
    </row>
    <row r="231" spans="7:7" x14ac:dyDescent="0.25">
      <c r="G231" t="str">
        <f t="shared" si="6"/>
        <v/>
      </c>
    </row>
    <row r="232" spans="7:7" x14ac:dyDescent="0.25">
      <c r="G232" t="str">
        <f t="shared" si="6"/>
        <v/>
      </c>
    </row>
    <row r="233" spans="7:7" x14ac:dyDescent="0.25">
      <c r="G233" t="str">
        <f t="shared" si="6"/>
        <v/>
      </c>
    </row>
    <row r="234" spans="7:7" x14ac:dyDescent="0.25">
      <c r="G234" t="str">
        <f t="shared" si="6"/>
        <v/>
      </c>
    </row>
    <row r="235" spans="7:7" x14ac:dyDescent="0.25">
      <c r="G235" t="str">
        <f t="shared" si="6"/>
        <v/>
      </c>
    </row>
    <row r="236" spans="7:7" x14ac:dyDescent="0.25">
      <c r="G236" t="str">
        <f t="shared" si="6"/>
        <v/>
      </c>
    </row>
    <row r="237" spans="7:7" x14ac:dyDescent="0.25">
      <c r="G237" t="str">
        <f t="shared" si="6"/>
        <v/>
      </c>
    </row>
    <row r="238" spans="7:7" x14ac:dyDescent="0.25">
      <c r="G238" t="str">
        <f t="shared" si="6"/>
        <v/>
      </c>
    </row>
    <row r="239" spans="7:7" x14ac:dyDescent="0.25">
      <c r="G239" t="str">
        <f t="shared" si="6"/>
        <v/>
      </c>
    </row>
    <row r="240" spans="7:7" x14ac:dyDescent="0.25">
      <c r="G240" t="str">
        <f t="shared" si="6"/>
        <v/>
      </c>
    </row>
    <row r="241" spans="7:7" x14ac:dyDescent="0.25">
      <c r="G241" t="str">
        <f t="shared" si="6"/>
        <v/>
      </c>
    </row>
    <row r="242" spans="7:7" x14ac:dyDescent="0.25">
      <c r="G242" t="str">
        <f t="shared" si="6"/>
        <v/>
      </c>
    </row>
    <row r="243" spans="7:7" x14ac:dyDescent="0.25">
      <c r="G243" t="str">
        <f t="shared" si="6"/>
        <v/>
      </c>
    </row>
    <row r="244" spans="7:7" x14ac:dyDescent="0.25">
      <c r="G244" t="str">
        <f t="shared" si="6"/>
        <v/>
      </c>
    </row>
    <row r="245" spans="7:7" x14ac:dyDescent="0.25">
      <c r="G245" t="str">
        <f t="shared" si="6"/>
        <v/>
      </c>
    </row>
    <row r="246" spans="7:7" x14ac:dyDescent="0.25">
      <c r="G246" t="str">
        <f t="shared" si="6"/>
        <v/>
      </c>
    </row>
    <row r="247" spans="7:7" x14ac:dyDescent="0.25">
      <c r="G247" t="str">
        <f t="shared" si="6"/>
        <v/>
      </c>
    </row>
    <row r="248" spans="7:7" x14ac:dyDescent="0.25">
      <c r="G248" t="str">
        <f t="shared" si="6"/>
        <v/>
      </c>
    </row>
    <row r="249" spans="7:7" x14ac:dyDescent="0.25">
      <c r="G249" t="str">
        <f t="shared" si="6"/>
        <v/>
      </c>
    </row>
    <row r="250" spans="7:7" x14ac:dyDescent="0.25">
      <c r="G250" t="str">
        <f t="shared" si="6"/>
        <v/>
      </c>
    </row>
    <row r="251" spans="7:7" x14ac:dyDescent="0.25">
      <c r="G251" t="str">
        <f t="shared" si="6"/>
        <v/>
      </c>
    </row>
    <row r="252" spans="7:7" x14ac:dyDescent="0.25">
      <c r="G252" t="str">
        <f t="shared" si="6"/>
        <v/>
      </c>
    </row>
    <row r="253" spans="7:7" x14ac:dyDescent="0.25">
      <c r="G253" t="str">
        <f t="shared" si="6"/>
        <v/>
      </c>
    </row>
    <row r="254" spans="7:7" x14ac:dyDescent="0.25">
      <c r="G254" t="str">
        <f t="shared" si="6"/>
        <v/>
      </c>
    </row>
    <row r="255" spans="7:7" x14ac:dyDescent="0.25">
      <c r="G255" t="str">
        <f t="shared" si="6"/>
        <v/>
      </c>
    </row>
    <row r="256" spans="7:7" x14ac:dyDescent="0.25">
      <c r="G256" t="str">
        <f t="shared" si="6"/>
        <v/>
      </c>
    </row>
    <row r="257" spans="7:7" x14ac:dyDescent="0.25">
      <c r="G257" t="str">
        <f t="shared" si="6"/>
        <v/>
      </c>
    </row>
    <row r="258" spans="7:7" x14ac:dyDescent="0.25">
      <c r="G258" t="str">
        <f t="shared" si="6"/>
        <v/>
      </c>
    </row>
    <row r="259" spans="7:7" x14ac:dyDescent="0.25">
      <c r="G259" t="str">
        <f t="shared" si="6"/>
        <v/>
      </c>
    </row>
    <row r="260" spans="7:7" x14ac:dyDescent="0.25">
      <c r="G260" t="str">
        <f t="shared" si="6"/>
        <v/>
      </c>
    </row>
    <row r="261" spans="7:7" x14ac:dyDescent="0.25">
      <c r="G261" t="str">
        <f t="shared" si="6"/>
        <v/>
      </c>
    </row>
    <row r="262" spans="7:7" x14ac:dyDescent="0.25">
      <c r="G262" t="str">
        <f t="shared" ref="G262:G325" si="7">IF(A262=A261,IF(B262&lt;&gt;B261,IF(B262-B261=1,"ok","MIRAR"),""),"CAMBIA JUEGO OK")</f>
        <v/>
      </c>
    </row>
    <row r="263" spans="7:7" x14ac:dyDescent="0.25">
      <c r="G263" t="str">
        <f t="shared" si="7"/>
        <v/>
      </c>
    </row>
    <row r="264" spans="7:7" x14ac:dyDescent="0.25">
      <c r="G264" t="str">
        <f t="shared" si="7"/>
        <v/>
      </c>
    </row>
    <row r="265" spans="7:7" x14ac:dyDescent="0.25">
      <c r="G265" t="str">
        <f t="shared" si="7"/>
        <v/>
      </c>
    </row>
    <row r="266" spans="7:7" x14ac:dyDescent="0.25">
      <c r="G266" t="str">
        <f t="shared" si="7"/>
        <v/>
      </c>
    </row>
    <row r="267" spans="7:7" x14ac:dyDescent="0.25">
      <c r="G267" t="str">
        <f t="shared" si="7"/>
        <v/>
      </c>
    </row>
    <row r="268" spans="7:7" x14ac:dyDescent="0.25">
      <c r="G268" t="str">
        <f t="shared" si="7"/>
        <v/>
      </c>
    </row>
    <row r="269" spans="7:7" x14ac:dyDescent="0.25">
      <c r="G269" t="str">
        <f t="shared" si="7"/>
        <v/>
      </c>
    </row>
    <row r="270" spans="7:7" x14ac:dyDescent="0.25">
      <c r="G270" t="str">
        <f t="shared" si="7"/>
        <v/>
      </c>
    </row>
    <row r="271" spans="7:7" x14ac:dyDescent="0.25">
      <c r="G271" t="str">
        <f t="shared" si="7"/>
        <v/>
      </c>
    </row>
    <row r="272" spans="7:7" x14ac:dyDescent="0.25">
      <c r="G272" t="str">
        <f t="shared" si="7"/>
        <v/>
      </c>
    </row>
    <row r="273" spans="7:7" x14ac:dyDescent="0.25">
      <c r="G273" t="str">
        <f t="shared" si="7"/>
        <v/>
      </c>
    </row>
    <row r="274" spans="7:7" x14ac:dyDescent="0.25">
      <c r="G274" t="str">
        <f t="shared" si="7"/>
        <v/>
      </c>
    </row>
    <row r="275" spans="7:7" x14ac:dyDescent="0.25">
      <c r="G275" t="str">
        <f t="shared" si="7"/>
        <v/>
      </c>
    </row>
    <row r="276" spans="7:7" x14ac:dyDescent="0.25">
      <c r="G276" t="str">
        <f t="shared" si="7"/>
        <v/>
      </c>
    </row>
    <row r="277" spans="7:7" x14ac:dyDescent="0.25">
      <c r="G277" t="str">
        <f t="shared" si="7"/>
        <v/>
      </c>
    </row>
    <row r="278" spans="7:7" x14ac:dyDescent="0.25">
      <c r="G278" t="str">
        <f t="shared" si="7"/>
        <v/>
      </c>
    </row>
    <row r="279" spans="7:7" x14ac:dyDescent="0.25">
      <c r="G279" t="str">
        <f t="shared" si="7"/>
        <v/>
      </c>
    </row>
    <row r="280" spans="7:7" x14ac:dyDescent="0.25">
      <c r="G280" t="str">
        <f t="shared" si="7"/>
        <v/>
      </c>
    </row>
    <row r="281" spans="7:7" x14ac:dyDescent="0.25">
      <c r="G281" t="str">
        <f t="shared" si="7"/>
        <v/>
      </c>
    </row>
    <row r="282" spans="7:7" x14ac:dyDescent="0.25">
      <c r="G282" t="str">
        <f t="shared" si="7"/>
        <v/>
      </c>
    </row>
    <row r="283" spans="7:7" x14ac:dyDescent="0.25">
      <c r="G283" t="str">
        <f t="shared" si="7"/>
        <v/>
      </c>
    </row>
    <row r="284" spans="7:7" x14ac:dyDescent="0.25">
      <c r="G284" t="str">
        <f t="shared" si="7"/>
        <v/>
      </c>
    </row>
    <row r="285" spans="7:7" x14ac:dyDescent="0.25">
      <c r="G285" t="str">
        <f t="shared" si="7"/>
        <v/>
      </c>
    </row>
    <row r="286" spans="7:7" x14ac:dyDescent="0.25">
      <c r="G286" t="str">
        <f t="shared" si="7"/>
        <v/>
      </c>
    </row>
    <row r="287" spans="7:7" x14ac:dyDescent="0.25">
      <c r="G287" t="str">
        <f t="shared" si="7"/>
        <v/>
      </c>
    </row>
    <row r="288" spans="7:7" x14ac:dyDescent="0.25">
      <c r="G288" t="str">
        <f t="shared" si="7"/>
        <v/>
      </c>
    </row>
    <row r="289" spans="7:7" x14ac:dyDescent="0.25">
      <c r="G289" t="str">
        <f t="shared" si="7"/>
        <v/>
      </c>
    </row>
    <row r="290" spans="7:7" x14ac:dyDescent="0.25">
      <c r="G290" t="str">
        <f t="shared" si="7"/>
        <v/>
      </c>
    </row>
    <row r="291" spans="7:7" x14ac:dyDescent="0.25">
      <c r="G291" t="str">
        <f t="shared" si="7"/>
        <v/>
      </c>
    </row>
    <row r="292" spans="7:7" x14ac:dyDescent="0.25">
      <c r="G292" t="str">
        <f t="shared" si="7"/>
        <v/>
      </c>
    </row>
    <row r="293" spans="7:7" x14ac:dyDescent="0.25">
      <c r="G293" t="str">
        <f t="shared" si="7"/>
        <v/>
      </c>
    </row>
    <row r="294" spans="7:7" x14ac:dyDescent="0.25">
      <c r="G294" t="str">
        <f t="shared" si="7"/>
        <v/>
      </c>
    </row>
    <row r="295" spans="7:7" x14ac:dyDescent="0.25">
      <c r="G295" t="str">
        <f t="shared" si="7"/>
        <v/>
      </c>
    </row>
    <row r="296" spans="7:7" x14ac:dyDescent="0.25">
      <c r="G296" t="str">
        <f t="shared" si="7"/>
        <v/>
      </c>
    </row>
    <row r="297" spans="7:7" x14ac:dyDescent="0.25">
      <c r="G297" t="str">
        <f t="shared" si="7"/>
        <v/>
      </c>
    </row>
    <row r="298" spans="7:7" x14ac:dyDescent="0.25">
      <c r="G298" t="str">
        <f t="shared" si="7"/>
        <v/>
      </c>
    </row>
    <row r="299" spans="7:7" x14ac:dyDescent="0.25">
      <c r="G299" t="str">
        <f t="shared" si="7"/>
        <v/>
      </c>
    </row>
    <row r="300" spans="7:7" x14ac:dyDescent="0.25">
      <c r="G300" t="str">
        <f t="shared" si="7"/>
        <v/>
      </c>
    </row>
    <row r="301" spans="7:7" x14ac:dyDescent="0.25">
      <c r="G301" t="str">
        <f t="shared" si="7"/>
        <v/>
      </c>
    </row>
    <row r="302" spans="7:7" x14ac:dyDescent="0.25">
      <c r="G302" t="str">
        <f t="shared" si="7"/>
        <v/>
      </c>
    </row>
    <row r="303" spans="7:7" x14ac:dyDescent="0.25">
      <c r="G303" t="str">
        <f t="shared" si="7"/>
        <v/>
      </c>
    </row>
    <row r="304" spans="7:7" x14ac:dyDescent="0.25">
      <c r="G304" t="str">
        <f t="shared" si="7"/>
        <v/>
      </c>
    </row>
    <row r="305" spans="7:7" x14ac:dyDescent="0.25">
      <c r="G305" t="str">
        <f t="shared" si="7"/>
        <v/>
      </c>
    </row>
    <row r="306" spans="7:7" x14ac:dyDescent="0.25">
      <c r="G306" t="str">
        <f t="shared" si="7"/>
        <v/>
      </c>
    </row>
    <row r="307" spans="7:7" x14ac:dyDescent="0.25">
      <c r="G307" t="str">
        <f t="shared" si="7"/>
        <v/>
      </c>
    </row>
    <row r="308" spans="7:7" x14ac:dyDescent="0.25">
      <c r="G308" t="str">
        <f t="shared" si="7"/>
        <v/>
      </c>
    </row>
    <row r="309" spans="7:7" x14ac:dyDescent="0.25">
      <c r="G309" t="str">
        <f t="shared" si="7"/>
        <v/>
      </c>
    </row>
    <row r="310" spans="7:7" x14ac:dyDescent="0.25">
      <c r="G310" t="str">
        <f t="shared" si="7"/>
        <v/>
      </c>
    </row>
    <row r="311" spans="7:7" x14ac:dyDescent="0.25">
      <c r="G311" t="str">
        <f t="shared" si="7"/>
        <v/>
      </c>
    </row>
    <row r="312" spans="7:7" x14ac:dyDescent="0.25">
      <c r="G312" t="str">
        <f t="shared" si="7"/>
        <v/>
      </c>
    </row>
    <row r="313" spans="7:7" x14ac:dyDescent="0.25">
      <c r="G313" t="str">
        <f t="shared" si="7"/>
        <v/>
      </c>
    </row>
    <row r="314" spans="7:7" x14ac:dyDescent="0.25">
      <c r="G314" t="str">
        <f t="shared" si="7"/>
        <v/>
      </c>
    </row>
    <row r="315" spans="7:7" x14ac:dyDescent="0.25">
      <c r="G315" t="str">
        <f t="shared" si="7"/>
        <v/>
      </c>
    </row>
    <row r="316" spans="7:7" x14ac:dyDescent="0.25">
      <c r="G316" t="str">
        <f t="shared" si="7"/>
        <v/>
      </c>
    </row>
    <row r="317" spans="7:7" x14ac:dyDescent="0.25">
      <c r="G317" t="str">
        <f t="shared" si="7"/>
        <v/>
      </c>
    </row>
    <row r="318" spans="7:7" x14ac:dyDescent="0.25">
      <c r="G318" t="str">
        <f t="shared" si="7"/>
        <v/>
      </c>
    </row>
    <row r="319" spans="7:7" x14ac:dyDescent="0.25">
      <c r="G319" t="str">
        <f t="shared" si="7"/>
        <v/>
      </c>
    </row>
    <row r="320" spans="7:7" x14ac:dyDescent="0.25">
      <c r="G320" t="str">
        <f t="shared" si="7"/>
        <v/>
      </c>
    </row>
    <row r="321" spans="7:7" x14ac:dyDescent="0.25">
      <c r="G321" t="str">
        <f t="shared" si="7"/>
        <v/>
      </c>
    </row>
    <row r="322" spans="7:7" x14ac:dyDescent="0.25">
      <c r="G322" t="str">
        <f t="shared" si="7"/>
        <v/>
      </c>
    </row>
    <row r="323" spans="7:7" x14ac:dyDescent="0.25">
      <c r="G323" t="str">
        <f t="shared" si="7"/>
        <v/>
      </c>
    </row>
    <row r="324" spans="7:7" x14ac:dyDescent="0.25">
      <c r="G324" t="str">
        <f t="shared" si="7"/>
        <v/>
      </c>
    </row>
    <row r="325" spans="7:7" x14ac:dyDescent="0.25">
      <c r="G325" t="str">
        <f t="shared" si="7"/>
        <v/>
      </c>
    </row>
    <row r="326" spans="7:7" x14ac:dyDescent="0.25">
      <c r="G326" t="str">
        <f t="shared" ref="G326:G389" si="8">IF(A326=A325,IF(B326&lt;&gt;B325,IF(B326-B325=1,"ok","MIRAR"),""),"CAMBIA JUEGO OK")</f>
        <v/>
      </c>
    </row>
    <row r="327" spans="7:7" x14ac:dyDescent="0.25">
      <c r="G327" t="str">
        <f t="shared" si="8"/>
        <v/>
      </c>
    </row>
    <row r="328" spans="7:7" x14ac:dyDescent="0.25">
      <c r="G328" t="str">
        <f t="shared" si="8"/>
        <v/>
      </c>
    </row>
    <row r="329" spans="7:7" x14ac:dyDescent="0.25">
      <c r="G329" t="str">
        <f t="shared" si="8"/>
        <v/>
      </c>
    </row>
    <row r="330" spans="7:7" x14ac:dyDescent="0.25">
      <c r="G330" t="str">
        <f t="shared" si="8"/>
        <v/>
      </c>
    </row>
    <row r="331" spans="7:7" x14ac:dyDescent="0.25">
      <c r="G331" t="str">
        <f t="shared" si="8"/>
        <v/>
      </c>
    </row>
    <row r="332" spans="7:7" x14ac:dyDescent="0.25">
      <c r="G332" t="str">
        <f t="shared" si="8"/>
        <v/>
      </c>
    </row>
    <row r="333" spans="7:7" x14ac:dyDescent="0.25">
      <c r="G333" t="str">
        <f t="shared" si="8"/>
        <v/>
      </c>
    </row>
    <row r="334" spans="7:7" x14ac:dyDescent="0.25">
      <c r="G334" t="str">
        <f t="shared" si="8"/>
        <v/>
      </c>
    </row>
    <row r="335" spans="7:7" x14ac:dyDescent="0.25">
      <c r="G335" t="str">
        <f t="shared" si="8"/>
        <v/>
      </c>
    </row>
    <row r="336" spans="7:7" x14ac:dyDescent="0.25">
      <c r="G336" t="str">
        <f t="shared" si="8"/>
        <v/>
      </c>
    </row>
    <row r="337" spans="7:7" x14ac:dyDescent="0.25">
      <c r="G337" t="str">
        <f t="shared" si="8"/>
        <v/>
      </c>
    </row>
    <row r="338" spans="7:7" x14ac:dyDescent="0.25">
      <c r="G338" t="str">
        <f t="shared" si="8"/>
        <v/>
      </c>
    </row>
    <row r="339" spans="7:7" x14ac:dyDescent="0.25">
      <c r="G339" t="str">
        <f t="shared" si="8"/>
        <v/>
      </c>
    </row>
    <row r="340" spans="7:7" x14ac:dyDescent="0.25">
      <c r="G340" t="str">
        <f t="shared" si="8"/>
        <v/>
      </c>
    </row>
    <row r="341" spans="7:7" x14ac:dyDescent="0.25">
      <c r="G341" t="str">
        <f t="shared" si="8"/>
        <v/>
      </c>
    </row>
    <row r="342" spans="7:7" x14ac:dyDescent="0.25">
      <c r="G342" t="str">
        <f t="shared" si="8"/>
        <v/>
      </c>
    </row>
    <row r="343" spans="7:7" x14ac:dyDescent="0.25">
      <c r="G343" t="str">
        <f t="shared" si="8"/>
        <v/>
      </c>
    </row>
    <row r="344" spans="7:7" x14ac:dyDescent="0.25">
      <c r="G344" t="str">
        <f t="shared" si="8"/>
        <v/>
      </c>
    </row>
    <row r="345" spans="7:7" x14ac:dyDescent="0.25">
      <c r="G345" t="str">
        <f t="shared" si="8"/>
        <v/>
      </c>
    </row>
    <row r="346" spans="7:7" x14ac:dyDescent="0.25">
      <c r="G346" t="str">
        <f t="shared" si="8"/>
        <v/>
      </c>
    </row>
    <row r="347" spans="7:7" x14ac:dyDescent="0.25">
      <c r="G347" t="str">
        <f t="shared" si="8"/>
        <v/>
      </c>
    </row>
    <row r="348" spans="7:7" x14ac:dyDescent="0.25">
      <c r="G348" t="str">
        <f t="shared" si="8"/>
        <v/>
      </c>
    </row>
    <row r="349" spans="7:7" x14ac:dyDescent="0.25">
      <c r="G349" t="str">
        <f t="shared" si="8"/>
        <v/>
      </c>
    </row>
    <row r="350" spans="7:7" x14ac:dyDescent="0.25">
      <c r="G350" t="str">
        <f t="shared" si="8"/>
        <v/>
      </c>
    </row>
    <row r="351" spans="7:7" x14ac:dyDescent="0.25">
      <c r="G351" t="str">
        <f t="shared" si="8"/>
        <v/>
      </c>
    </row>
    <row r="352" spans="7:7" x14ac:dyDescent="0.25">
      <c r="G352" t="str">
        <f t="shared" si="8"/>
        <v/>
      </c>
    </row>
    <row r="353" spans="7:7" x14ac:dyDescent="0.25">
      <c r="G353" t="str">
        <f t="shared" si="8"/>
        <v/>
      </c>
    </row>
    <row r="354" spans="7:7" x14ac:dyDescent="0.25">
      <c r="G354" t="str">
        <f t="shared" si="8"/>
        <v/>
      </c>
    </row>
    <row r="355" spans="7:7" x14ac:dyDescent="0.25">
      <c r="G355" t="str">
        <f t="shared" si="8"/>
        <v/>
      </c>
    </row>
    <row r="356" spans="7:7" x14ac:dyDescent="0.25">
      <c r="G356" t="str">
        <f t="shared" si="8"/>
        <v/>
      </c>
    </row>
    <row r="357" spans="7:7" x14ac:dyDescent="0.25">
      <c r="G357" t="str">
        <f t="shared" si="8"/>
        <v/>
      </c>
    </row>
    <row r="358" spans="7:7" x14ac:dyDescent="0.25">
      <c r="G358" t="str">
        <f t="shared" si="8"/>
        <v/>
      </c>
    </row>
    <row r="359" spans="7:7" x14ac:dyDescent="0.25">
      <c r="G359" t="str">
        <f t="shared" si="8"/>
        <v/>
      </c>
    </row>
    <row r="360" spans="7:7" x14ac:dyDescent="0.25">
      <c r="G360" t="str">
        <f t="shared" si="8"/>
        <v/>
      </c>
    </row>
    <row r="361" spans="7:7" x14ac:dyDescent="0.25">
      <c r="G361" t="str">
        <f t="shared" si="8"/>
        <v/>
      </c>
    </row>
    <row r="362" spans="7:7" x14ac:dyDescent="0.25">
      <c r="G362" t="str">
        <f t="shared" si="8"/>
        <v/>
      </c>
    </row>
    <row r="363" spans="7:7" x14ac:dyDescent="0.25">
      <c r="G363" t="str">
        <f t="shared" si="8"/>
        <v/>
      </c>
    </row>
    <row r="364" spans="7:7" x14ac:dyDescent="0.25">
      <c r="G364" t="str">
        <f t="shared" si="8"/>
        <v/>
      </c>
    </row>
    <row r="365" spans="7:7" x14ac:dyDescent="0.25">
      <c r="G365" t="str">
        <f t="shared" si="8"/>
        <v/>
      </c>
    </row>
    <row r="366" spans="7:7" x14ac:dyDescent="0.25">
      <c r="G366" t="str">
        <f t="shared" si="8"/>
        <v/>
      </c>
    </row>
    <row r="367" spans="7:7" x14ac:dyDescent="0.25">
      <c r="G367" t="str">
        <f t="shared" si="8"/>
        <v/>
      </c>
    </row>
    <row r="368" spans="7:7" x14ac:dyDescent="0.25">
      <c r="G368" t="str">
        <f t="shared" si="8"/>
        <v/>
      </c>
    </row>
    <row r="369" spans="7:7" x14ac:dyDescent="0.25">
      <c r="G369" t="str">
        <f t="shared" si="8"/>
        <v/>
      </c>
    </row>
    <row r="370" spans="7:7" x14ac:dyDescent="0.25">
      <c r="G370" t="str">
        <f t="shared" si="8"/>
        <v/>
      </c>
    </row>
    <row r="371" spans="7:7" x14ac:dyDescent="0.25">
      <c r="G371" t="str">
        <f t="shared" si="8"/>
        <v/>
      </c>
    </row>
    <row r="372" spans="7:7" x14ac:dyDescent="0.25">
      <c r="G372" t="str">
        <f t="shared" si="8"/>
        <v/>
      </c>
    </row>
    <row r="373" spans="7:7" x14ac:dyDescent="0.25">
      <c r="G373" t="str">
        <f t="shared" si="8"/>
        <v/>
      </c>
    </row>
    <row r="374" spans="7:7" x14ac:dyDescent="0.25">
      <c r="G374" t="str">
        <f t="shared" si="8"/>
        <v/>
      </c>
    </row>
    <row r="375" spans="7:7" x14ac:dyDescent="0.25">
      <c r="G375" t="str">
        <f t="shared" si="8"/>
        <v/>
      </c>
    </row>
    <row r="376" spans="7:7" x14ac:dyDescent="0.25">
      <c r="G376" t="str">
        <f t="shared" si="8"/>
        <v/>
      </c>
    </row>
    <row r="377" spans="7:7" x14ac:dyDescent="0.25">
      <c r="G377" t="str">
        <f t="shared" si="8"/>
        <v/>
      </c>
    </row>
    <row r="378" spans="7:7" x14ac:dyDescent="0.25">
      <c r="G378" t="str">
        <f t="shared" si="8"/>
        <v/>
      </c>
    </row>
    <row r="379" spans="7:7" x14ac:dyDescent="0.25">
      <c r="G379" t="str">
        <f t="shared" si="8"/>
        <v/>
      </c>
    </row>
    <row r="380" spans="7:7" x14ac:dyDescent="0.25">
      <c r="G380" t="str">
        <f t="shared" si="8"/>
        <v/>
      </c>
    </row>
    <row r="381" spans="7:7" x14ac:dyDescent="0.25">
      <c r="G381" t="str">
        <f t="shared" si="8"/>
        <v/>
      </c>
    </row>
    <row r="382" spans="7:7" x14ac:dyDescent="0.25">
      <c r="G382" t="str">
        <f t="shared" si="8"/>
        <v/>
      </c>
    </row>
    <row r="383" spans="7:7" x14ac:dyDescent="0.25">
      <c r="G383" t="str">
        <f t="shared" si="8"/>
        <v/>
      </c>
    </row>
    <row r="384" spans="7:7" x14ac:dyDescent="0.25">
      <c r="G384" t="str">
        <f t="shared" si="8"/>
        <v/>
      </c>
    </row>
    <row r="385" spans="7:7" x14ac:dyDescent="0.25">
      <c r="G385" t="str">
        <f t="shared" si="8"/>
        <v/>
      </c>
    </row>
    <row r="386" spans="7:7" x14ac:dyDescent="0.25">
      <c r="G386" t="str">
        <f t="shared" si="8"/>
        <v/>
      </c>
    </row>
    <row r="387" spans="7:7" x14ac:dyDescent="0.25">
      <c r="G387" t="str">
        <f t="shared" si="8"/>
        <v/>
      </c>
    </row>
    <row r="388" spans="7:7" x14ac:dyDescent="0.25">
      <c r="G388" t="str">
        <f t="shared" si="8"/>
        <v/>
      </c>
    </row>
    <row r="389" spans="7:7" x14ac:dyDescent="0.25">
      <c r="G389" t="str">
        <f t="shared" si="8"/>
        <v/>
      </c>
    </row>
    <row r="390" spans="7:7" x14ac:dyDescent="0.25">
      <c r="G390" t="str">
        <f t="shared" ref="G390:G453" si="9">IF(A390=A389,IF(B390&lt;&gt;B389,IF(B390-B389=1,"ok","MIRAR"),""),"CAMBIA JUEGO OK")</f>
        <v/>
      </c>
    </row>
    <row r="391" spans="7:7" x14ac:dyDescent="0.25">
      <c r="G391" t="str">
        <f t="shared" si="9"/>
        <v/>
      </c>
    </row>
    <row r="392" spans="7:7" x14ac:dyDescent="0.25">
      <c r="G392" t="str">
        <f t="shared" si="9"/>
        <v/>
      </c>
    </row>
    <row r="393" spans="7:7" x14ac:dyDescent="0.25">
      <c r="G393" t="str">
        <f t="shared" si="9"/>
        <v/>
      </c>
    </row>
    <row r="394" spans="7:7" x14ac:dyDescent="0.25">
      <c r="G394" t="str">
        <f t="shared" si="9"/>
        <v/>
      </c>
    </row>
    <row r="395" spans="7:7" x14ac:dyDescent="0.25">
      <c r="G395" t="str">
        <f t="shared" si="9"/>
        <v/>
      </c>
    </row>
    <row r="396" spans="7:7" x14ac:dyDescent="0.25">
      <c r="G396" t="str">
        <f t="shared" si="9"/>
        <v/>
      </c>
    </row>
    <row r="397" spans="7:7" x14ac:dyDescent="0.25">
      <c r="G397" t="str">
        <f t="shared" si="9"/>
        <v/>
      </c>
    </row>
    <row r="398" spans="7:7" x14ac:dyDescent="0.25">
      <c r="G398" t="str">
        <f t="shared" si="9"/>
        <v/>
      </c>
    </row>
    <row r="399" spans="7:7" x14ac:dyDescent="0.25">
      <c r="G399" t="str">
        <f t="shared" si="9"/>
        <v/>
      </c>
    </row>
    <row r="400" spans="7:7" x14ac:dyDescent="0.25">
      <c r="G400" t="str">
        <f t="shared" si="9"/>
        <v/>
      </c>
    </row>
    <row r="401" spans="7:7" x14ac:dyDescent="0.25">
      <c r="G401" t="str">
        <f t="shared" si="9"/>
        <v/>
      </c>
    </row>
    <row r="402" spans="7:7" x14ac:dyDescent="0.25">
      <c r="G402" t="str">
        <f t="shared" si="9"/>
        <v/>
      </c>
    </row>
    <row r="403" spans="7:7" x14ac:dyDescent="0.25">
      <c r="G403" t="str">
        <f t="shared" si="9"/>
        <v/>
      </c>
    </row>
    <row r="404" spans="7:7" x14ac:dyDescent="0.25">
      <c r="G404" t="str">
        <f t="shared" si="9"/>
        <v/>
      </c>
    </row>
    <row r="405" spans="7:7" x14ac:dyDescent="0.25">
      <c r="G405" t="str">
        <f t="shared" si="9"/>
        <v/>
      </c>
    </row>
    <row r="406" spans="7:7" x14ac:dyDescent="0.25">
      <c r="G406" t="str">
        <f t="shared" si="9"/>
        <v/>
      </c>
    </row>
    <row r="407" spans="7:7" x14ac:dyDescent="0.25">
      <c r="G407" t="str">
        <f t="shared" si="9"/>
        <v/>
      </c>
    </row>
    <row r="408" spans="7:7" x14ac:dyDescent="0.25">
      <c r="G408" t="str">
        <f t="shared" si="9"/>
        <v/>
      </c>
    </row>
    <row r="409" spans="7:7" x14ac:dyDescent="0.25">
      <c r="G409" t="str">
        <f t="shared" si="9"/>
        <v/>
      </c>
    </row>
    <row r="410" spans="7:7" x14ac:dyDescent="0.25">
      <c r="G410" t="str">
        <f t="shared" si="9"/>
        <v/>
      </c>
    </row>
    <row r="411" spans="7:7" x14ac:dyDescent="0.25">
      <c r="G411" t="str">
        <f t="shared" si="9"/>
        <v/>
      </c>
    </row>
    <row r="412" spans="7:7" x14ac:dyDescent="0.25">
      <c r="G412" t="str">
        <f t="shared" si="9"/>
        <v/>
      </c>
    </row>
    <row r="413" spans="7:7" x14ac:dyDescent="0.25">
      <c r="G413" t="str">
        <f t="shared" si="9"/>
        <v/>
      </c>
    </row>
    <row r="414" spans="7:7" x14ac:dyDescent="0.25">
      <c r="G414" t="str">
        <f t="shared" si="9"/>
        <v/>
      </c>
    </row>
    <row r="415" spans="7:7" x14ac:dyDescent="0.25">
      <c r="G415" t="str">
        <f t="shared" si="9"/>
        <v/>
      </c>
    </row>
    <row r="416" spans="7:7" x14ac:dyDescent="0.25">
      <c r="G416" t="str">
        <f t="shared" si="9"/>
        <v/>
      </c>
    </row>
    <row r="417" spans="7:7" x14ac:dyDescent="0.25">
      <c r="G417" t="str">
        <f t="shared" si="9"/>
        <v/>
      </c>
    </row>
    <row r="418" spans="7:7" x14ac:dyDescent="0.25">
      <c r="G418" t="str">
        <f t="shared" si="9"/>
        <v/>
      </c>
    </row>
    <row r="419" spans="7:7" x14ac:dyDescent="0.25">
      <c r="G419" t="str">
        <f t="shared" si="9"/>
        <v/>
      </c>
    </row>
    <row r="420" spans="7:7" x14ac:dyDescent="0.25">
      <c r="G420" t="str">
        <f t="shared" si="9"/>
        <v/>
      </c>
    </row>
    <row r="421" spans="7:7" x14ac:dyDescent="0.25">
      <c r="G421" t="str">
        <f t="shared" si="9"/>
        <v/>
      </c>
    </row>
    <row r="422" spans="7:7" x14ac:dyDescent="0.25">
      <c r="G422" t="str">
        <f t="shared" si="9"/>
        <v/>
      </c>
    </row>
    <row r="423" spans="7:7" x14ac:dyDescent="0.25">
      <c r="G423" t="str">
        <f t="shared" si="9"/>
        <v/>
      </c>
    </row>
    <row r="424" spans="7:7" x14ac:dyDescent="0.25">
      <c r="G424" t="str">
        <f t="shared" si="9"/>
        <v/>
      </c>
    </row>
    <row r="425" spans="7:7" x14ac:dyDescent="0.25">
      <c r="G425" t="str">
        <f t="shared" si="9"/>
        <v/>
      </c>
    </row>
    <row r="426" spans="7:7" x14ac:dyDescent="0.25">
      <c r="G426" t="str">
        <f t="shared" si="9"/>
        <v/>
      </c>
    </row>
    <row r="427" spans="7:7" x14ac:dyDescent="0.25">
      <c r="G427" t="str">
        <f t="shared" si="9"/>
        <v/>
      </c>
    </row>
    <row r="428" spans="7:7" x14ac:dyDescent="0.25">
      <c r="G428" t="str">
        <f t="shared" si="9"/>
        <v/>
      </c>
    </row>
    <row r="429" spans="7:7" x14ac:dyDescent="0.25">
      <c r="G429" t="str">
        <f t="shared" si="9"/>
        <v/>
      </c>
    </row>
    <row r="430" spans="7:7" x14ac:dyDescent="0.25">
      <c r="G430" t="str">
        <f t="shared" si="9"/>
        <v/>
      </c>
    </row>
    <row r="431" spans="7:7" x14ac:dyDescent="0.25">
      <c r="G431" t="str">
        <f t="shared" si="9"/>
        <v/>
      </c>
    </row>
    <row r="432" spans="7:7" x14ac:dyDescent="0.25">
      <c r="G432" t="str">
        <f t="shared" si="9"/>
        <v/>
      </c>
    </row>
    <row r="433" spans="7:7" x14ac:dyDescent="0.25">
      <c r="G433" t="str">
        <f t="shared" si="9"/>
        <v/>
      </c>
    </row>
    <row r="434" spans="7:7" x14ac:dyDescent="0.25">
      <c r="G434" t="str">
        <f t="shared" si="9"/>
        <v/>
      </c>
    </row>
    <row r="435" spans="7:7" x14ac:dyDescent="0.25">
      <c r="G435" t="str">
        <f t="shared" si="9"/>
        <v/>
      </c>
    </row>
    <row r="436" spans="7:7" x14ac:dyDescent="0.25">
      <c r="G436" t="str">
        <f t="shared" si="9"/>
        <v/>
      </c>
    </row>
    <row r="437" spans="7:7" x14ac:dyDescent="0.25">
      <c r="G437" t="str">
        <f t="shared" si="9"/>
        <v/>
      </c>
    </row>
    <row r="438" spans="7:7" x14ac:dyDescent="0.25">
      <c r="G438" t="str">
        <f t="shared" si="9"/>
        <v/>
      </c>
    </row>
    <row r="439" spans="7:7" x14ac:dyDescent="0.25">
      <c r="G439" t="str">
        <f t="shared" si="9"/>
        <v/>
      </c>
    </row>
    <row r="440" spans="7:7" x14ac:dyDescent="0.25">
      <c r="G440" t="str">
        <f t="shared" si="9"/>
        <v/>
      </c>
    </row>
    <row r="441" spans="7:7" x14ac:dyDescent="0.25">
      <c r="G441" t="str">
        <f t="shared" si="9"/>
        <v/>
      </c>
    </row>
    <row r="442" spans="7:7" x14ac:dyDescent="0.25">
      <c r="G442" t="str">
        <f t="shared" si="9"/>
        <v/>
      </c>
    </row>
    <row r="443" spans="7:7" x14ac:dyDescent="0.25">
      <c r="G443" t="str">
        <f t="shared" si="9"/>
        <v/>
      </c>
    </row>
    <row r="444" spans="7:7" x14ac:dyDescent="0.25">
      <c r="G444" t="str">
        <f t="shared" si="9"/>
        <v/>
      </c>
    </row>
    <row r="445" spans="7:7" x14ac:dyDescent="0.25">
      <c r="G445" t="str">
        <f t="shared" si="9"/>
        <v/>
      </c>
    </row>
    <row r="446" spans="7:7" x14ac:dyDescent="0.25">
      <c r="G446" t="str">
        <f t="shared" si="9"/>
        <v/>
      </c>
    </row>
    <row r="447" spans="7:7" x14ac:dyDescent="0.25">
      <c r="G447" t="str">
        <f t="shared" si="9"/>
        <v/>
      </c>
    </row>
    <row r="448" spans="7:7" x14ac:dyDescent="0.25">
      <c r="G448" t="str">
        <f t="shared" si="9"/>
        <v/>
      </c>
    </row>
    <row r="449" spans="7:7" x14ac:dyDescent="0.25">
      <c r="G449" t="str">
        <f t="shared" si="9"/>
        <v/>
      </c>
    </row>
    <row r="450" spans="7:7" x14ac:dyDescent="0.25">
      <c r="G450" t="str">
        <f t="shared" si="9"/>
        <v/>
      </c>
    </row>
    <row r="451" spans="7:7" x14ac:dyDescent="0.25">
      <c r="G451" t="str">
        <f t="shared" si="9"/>
        <v/>
      </c>
    </row>
    <row r="452" spans="7:7" x14ac:dyDescent="0.25">
      <c r="G452" t="str">
        <f t="shared" si="9"/>
        <v/>
      </c>
    </row>
    <row r="453" spans="7:7" x14ac:dyDescent="0.25">
      <c r="G453" t="str">
        <f t="shared" si="9"/>
        <v/>
      </c>
    </row>
    <row r="454" spans="7:7" x14ac:dyDescent="0.25">
      <c r="G454" t="str">
        <f t="shared" ref="G454:G460" si="10">IF(A454=A453,IF(B454&lt;&gt;B453,IF(B454-B453=1,"ok","MIRAR"),""),"CAMBIA JUEGO OK")</f>
        <v/>
      </c>
    </row>
    <row r="455" spans="7:7" x14ac:dyDescent="0.25">
      <c r="G455" t="str">
        <f t="shared" si="10"/>
        <v/>
      </c>
    </row>
    <row r="456" spans="7:7" x14ac:dyDescent="0.25">
      <c r="G456" t="str">
        <f t="shared" si="10"/>
        <v/>
      </c>
    </row>
    <row r="457" spans="7:7" x14ac:dyDescent="0.25">
      <c r="G457" t="str">
        <f t="shared" si="10"/>
        <v/>
      </c>
    </row>
    <row r="458" spans="7:7" x14ac:dyDescent="0.25">
      <c r="G458" t="str">
        <f t="shared" si="10"/>
        <v/>
      </c>
    </row>
    <row r="459" spans="7:7" x14ac:dyDescent="0.25">
      <c r="G459" t="str">
        <f t="shared" si="10"/>
        <v/>
      </c>
    </row>
    <row r="460" spans="7:7" x14ac:dyDescent="0.25">
      <c r="G460" t="str">
        <f t="shared" si="10"/>
        <v/>
      </c>
    </row>
  </sheetData>
  <sortState xmlns:xlrd2="http://schemas.microsoft.com/office/spreadsheetml/2017/richdata2" ref="A2:F22">
    <sortCondition ref="A2:A22"/>
    <sortCondition ref="B2:B22"/>
  </sortState>
  <mergeCells count="1">
    <mergeCell ref="I4:I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L38"/>
  <sheetViews>
    <sheetView workbookViewId="0">
      <selection activeCell="B10" sqref="B10:C11"/>
    </sheetView>
  </sheetViews>
  <sheetFormatPr baseColWidth="10" defaultRowHeight="15" x14ac:dyDescent="0.25"/>
  <cols>
    <col min="1" max="1" width="10.85546875" style="98"/>
    <col min="2" max="2" width="11.5703125" style="118" bestFit="1" customWidth="1"/>
    <col min="3" max="3" width="14.28515625" style="124" bestFit="1" customWidth="1"/>
    <col min="4" max="4" width="16.7109375" style="98" bestFit="1" customWidth="1"/>
    <col min="5" max="5" width="17.7109375" style="98" bestFit="1" customWidth="1"/>
    <col min="6" max="6" width="15.28515625" style="118" bestFit="1" customWidth="1"/>
    <col min="8" max="8" width="14.7109375" bestFit="1" customWidth="1"/>
    <col min="9" max="9" width="64.85546875" customWidth="1"/>
    <col min="10" max="10" width="14.7109375" bestFit="1" customWidth="1"/>
  </cols>
  <sheetData>
    <row r="1" spans="1:12" x14ac:dyDescent="0.25">
      <c r="A1" s="98" t="s">
        <v>48</v>
      </c>
      <c r="B1" s="118" t="s">
        <v>122</v>
      </c>
      <c r="D1" s="98" t="s">
        <v>123</v>
      </c>
      <c r="E1" s="98" t="s">
        <v>124</v>
      </c>
      <c r="F1" s="125"/>
      <c r="I1" s="216" t="s">
        <v>216</v>
      </c>
    </row>
    <row r="2" spans="1:12" x14ac:dyDescent="0.25">
      <c r="A2" t="s">
        <v>125</v>
      </c>
      <c r="B2">
        <v>26001</v>
      </c>
      <c r="C2">
        <v>2012025</v>
      </c>
      <c r="D2">
        <v>42261617</v>
      </c>
      <c r="E2"/>
      <c r="F2">
        <v>8</v>
      </c>
      <c r="G2" t="str">
        <f t="shared" ref="G2:G31" si="0">IF(A2=A1,IF(B2&lt;&gt;B1,IF(B2-B1=1,"ok","MIRAR"),""),"CAMBIA JUEGO OK")</f>
        <v>CAMBIA JUEGO OK</v>
      </c>
      <c r="I2" s="217"/>
      <c r="K2" s="119"/>
    </row>
    <row r="3" spans="1:12" x14ac:dyDescent="0.25">
      <c r="A3" t="s">
        <v>125</v>
      </c>
      <c r="B3">
        <f t="shared" ref="B3:B11" si="1">B2+1</f>
        <v>26002</v>
      </c>
      <c r="C3">
        <v>7012025</v>
      </c>
      <c r="D3">
        <v>41695120</v>
      </c>
      <c r="E3"/>
      <c r="F3">
        <v>8</v>
      </c>
      <c r="G3" t="str">
        <f t="shared" si="0"/>
        <v>ok</v>
      </c>
      <c r="I3" s="217"/>
      <c r="K3" s="119"/>
    </row>
    <row r="4" spans="1:12" x14ac:dyDescent="0.25">
      <c r="A4" t="s">
        <v>125</v>
      </c>
      <c r="B4">
        <f t="shared" si="1"/>
        <v>26003</v>
      </c>
      <c r="C4">
        <v>9012025</v>
      </c>
      <c r="D4">
        <v>17301028</v>
      </c>
      <c r="E4"/>
      <c r="F4">
        <v>8</v>
      </c>
      <c r="G4" t="str">
        <f t="shared" si="0"/>
        <v>ok</v>
      </c>
      <c r="I4" s="217"/>
      <c r="K4" s="119"/>
    </row>
    <row r="5" spans="1:12" x14ac:dyDescent="0.25">
      <c r="A5" t="s">
        <v>125</v>
      </c>
      <c r="B5">
        <f t="shared" si="1"/>
        <v>26004</v>
      </c>
      <c r="C5">
        <v>14012025</v>
      </c>
      <c r="D5">
        <v>36560707</v>
      </c>
      <c r="E5"/>
      <c r="F5">
        <v>8</v>
      </c>
      <c r="G5" t="str">
        <f t="shared" si="0"/>
        <v>ok</v>
      </c>
      <c r="I5" s="217"/>
      <c r="K5" s="119"/>
    </row>
    <row r="6" spans="1:12" x14ac:dyDescent="0.25">
      <c r="A6" t="s">
        <v>125</v>
      </c>
      <c r="B6">
        <f t="shared" si="1"/>
        <v>26005</v>
      </c>
      <c r="C6">
        <v>16012025</v>
      </c>
      <c r="D6">
        <v>35306809</v>
      </c>
      <c r="E6"/>
      <c r="F6">
        <v>8</v>
      </c>
      <c r="G6" t="str">
        <f t="shared" si="0"/>
        <v>ok</v>
      </c>
      <c r="I6" s="217"/>
      <c r="K6" s="119"/>
    </row>
    <row r="7" spans="1:12" x14ac:dyDescent="0.25">
      <c r="A7" t="s">
        <v>125</v>
      </c>
      <c r="B7">
        <f t="shared" si="1"/>
        <v>26006</v>
      </c>
      <c r="C7">
        <v>19012025</v>
      </c>
      <c r="D7">
        <v>40807354</v>
      </c>
      <c r="E7"/>
      <c r="F7">
        <v>8</v>
      </c>
      <c r="G7" t="str">
        <f t="shared" si="0"/>
        <v>ok</v>
      </c>
      <c r="I7" s="217"/>
      <c r="K7" s="119"/>
    </row>
    <row r="8" spans="1:12" x14ac:dyDescent="0.25">
      <c r="A8" t="s">
        <v>125</v>
      </c>
      <c r="B8">
        <f t="shared" si="1"/>
        <v>26007</v>
      </c>
      <c r="C8">
        <v>21012025</v>
      </c>
      <c r="D8">
        <v>37187547</v>
      </c>
      <c r="E8"/>
      <c r="F8">
        <v>8</v>
      </c>
      <c r="G8" t="str">
        <f t="shared" si="0"/>
        <v>ok</v>
      </c>
      <c r="H8" s="101"/>
      <c r="I8" s="217"/>
      <c r="K8" s="119"/>
    </row>
    <row r="9" spans="1:12" x14ac:dyDescent="0.25">
      <c r="A9" t="s">
        <v>125</v>
      </c>
      <c r="B9">
        <f t="shared" si="1"/>
        <v>26008</v>
      </c>
      <c r="C9">
        <v>25012025</v>
      </c>
      <c r="D9">
        <v>36269969</v>
      </c>
      <c r="E9"/>
      <c r="F9">
        <v>8</v>
      </c>
      <c r="G9" t="str">
        <f t="shared" si="0"/>
        <v>ok</v>
      </c>
      <c r="H9" s="101"/>
      <c r="I9" s="217"/>
      <c r="K9" s="119"/>
    </row>
    <row r="10" spans="1:12" x14ac:dyDescent="0.25">
      <c r="A10" t="s">
        <v>125</v>
      </c>
      <c r="B10">
        <f t="shared" si="1"/>
        <v>26009</v>
      </c>
      <c r="C10" s="179">
        <v>28012025</v>
      </c>
      <c r="D10">
        <v>43994222</v>
      </c>
      <c r="E10"/>
      <c r="F10">
        <v>8</v>
      </c>
      <c r="G10" t="str">
        <f t="shared" si="0"/>
        <v>ok</v>
      </c>
      <c r="H10" s="101"/>
      <c r="K10" s="119"/>
    </row>
    <row r="11" spans="1:12" x14ac:dyDescent="0.25">
      <c r="A11" t="s">
        <v>125</v>
      </c>
      <c r="B11">
        <f t="shared" si="1"/>
        <v>26010</v>
      </c>
      <c r="C11" s="179">
        <v>28012026</v>
      </c>
      <c r="D11">
        <v>44487841</v>
      </c>
      <c r="E11"/>
      <c r="F11">
        <v>8</v>
      </c>
      <c r="G11" t="str">
        <f t="shared" si="0"/>
        <v>ok</v>
      </c>
      <c r="H11" s="101"/>
      <c r="K11" s="119"/>
      <c r="L11" s="97"/>
    </row>
    <row r="12" spans="1:12" x14ac:dyDescent="0.25">
      <c r="A12"/>
      <c r="B12"/>
      <c r="C12"/>
      <c r="D12" s="97">
        <f>SUM(D2:D11)</f>
        <v>375872214</v>
      </c>
      <c r="E12"/>
      <c r="F12">
        <v>8</v>
      </c>
      <c r="G12" t="str">
        <f t="shared" si="0"/>
        <v>CAMBIA JUEGO OK</v>
      </c>
      <c r="K12" s="119"/>
      <c r="L12" s="97"/>
    </row>
    <row r="13" spans="1:12" x14ac:dyDescent="0.25">
      <c r="A13" t="s">
        <v>126</v>
      </c>
      <c r="B13">
        <v>26001</v>
      </c>
      <c r="C13">
        <v>3012025</v>
      </c>
      <c r="D13">
        <v>55168759</v>
      </c>
      <c r="E13"/>
      <c r="F13">
        <v>8</v>
      </c>
      <c r="G13" t="str">
        <f>IF(A13=A11,IF(B13&lt;&gt;B11,IF(B13-B11=1,"ok","MIRAR"),""),"CAMBIA JUEGO OK")</f>
        <v>CAMBIA JUEGO OK</v>
      </c>
      <c r="K13" s="119"/>
      <c r="L13" s="97"/>
    </row>
    <row r="14" spans="1:12" x14ac:dyDescent="0.25">
      <c r="A14" t="s">
        <v>126</v>
      </c>
      <c r="B14">
        <f t="shared" ref="B14:B22" si="2">B13+1</f>
        <v>26002</v>
      </c>
      <c r="C14">
        <v>5012025</v>
      </c>
      <c r="D14">
        <v>28830728</v>
      </c>
      <c r="E14"/>
      <c r="F14">
        <v>8</v>
      </c>
      <c r="G14" t="str">
        <f t="shared" si="0"/>
        <v>ok</v>
      </c>
      <c r="K14" s="119"/>
    </row>
    <row r="15" spans="1:12" x14ac:dyDescent="0.25">
      <c r="A15" t="s">
        <v>126</v>
      </c>
      <c r="B15">
        <f t="shared" si="2"/>
        <v>26003</v>
      </c>
      <c r="C15">
        <v>8012025</v>
      </c>
      <c r="D15">
        <v>60227636</v>
      </c>
      <c r="E15"/>
      <c r="F15">
        <v>8</v>
      </c>
      <c r="G15" t="str">
        <f t="shared" si="0"/>
        <v>ok</v>
      </c>
      <c r="K15" s="119"/>
    </row>
    <row r="16" spans="1:12" x14ac:dyDescent="0.25">
      <c r="A16" t="s">
        <v>126</v>
      </c>
      <c r="B16">
        <f t="shared" si="2"/>
        <v>26004</v>
      </c>
      <c r="C16">
        <v>11012025</v>
      </c>
      <c r="D16">
        <v>76164817</v>
      </c>
      <c r="E16"/>
      <c r="F16">
        <v>8</v>
      </c>
      <c r="G16" t="str">
        <f t="shared" si="0"/>
        <v>ok</v>
      </c>
      <c r="K16" s="119"/>
    </row>
    <row r="17" spans="1:11" x14ac:dyDescent="0.25">
      <c r="A17" t="s">
        <v>126</v>
      </c>
      <c r="B17">
        <f t="shared" si="2"/>
        <v>26005</v>
      </c>
      <c r="C17">
        <v>15012025</v>
      </c>
      <c r="D17">
        <v>52006091</v>
      </c>
      <c r="E17"/>
      <c r="F17">
        <v>8</v>
      </c>
      <c r="G17" t="str">
        <f t="shared" si="0"/>
        <v>ok</v>
      </c>
      <c r="K17" s="119"/>
    </row>
    <row r="18" spans="1:11" x14ac:dyDescent="0.25">
      <c r="A18" t="s">
        <v>126</v>
      </c>
      <c r="B18">
        <f t="shared" si="2"/>
        <v>26006</v>
      </c>
      <c r="C18">
        <v>17012025</v>
      </c>
      <c r="D18">
        <v>67379574</v>
      </c>
      <c r="E18"/>
      <c r="F18">
        <v>8</v>
      </c>
      <c r="G18" t="str">
        <f t="shared" si="0"/>
        <v>ok</v>
      </c>
      <c r="K18" s="119"/>
    </row>
    <row r="19" spans="1:11" x14ac:dyDescent="0.25">
      <c r="A19" t="s">
        <v>126</v>
      </c>
      <c r="B19">
        <f t="shared" si="2"/>
        <v>26007</v>
      </c>
      <c r="C19">
        <v>22012025</v>
      </c>
      <c r="D19">
        <v>52762221</v>
      </c>
      <c r="E19"/>
      <c r="F19">
        <v>8</v>
      </c>
      <c r="G19" t="str">
        <f t="shared" si="0"/>
        <v>ok</v>
      </c>
      <c r="K19" s="119"/>
    </row>
    <row r="20" spans="1:11" x14ac:dyDescent="0.25">
      <c r="A20" t="s">
        <v>126</v>
      </c>
      <c r="B20">
        <f t="shared" si="2"/>
        <v>26008</v>
      </c>
      <c r="C20">
        <v>23012025</v>
      </c>
      <c r="D20">
        <v>55229165</v>
      </c>
      <c r="E20"/>
      <c r="F20">
        <v>8</v>
      </c>
      <c r="G20" t="str">
        <f t="shared" si="0"/>
        <v>ok</v>
      </c>
      <c r="K20" s="119"/>
    </row>
    <row r="21" spans="1:11" x14ac:dyDescent="0.25">
      <c r="A21" t="s">
        <v>126</v>
      </c>
      <c r="B21">
        <f t="shared" si="2"/>
        <v>26009</v>
      </c>
      <c r="C21">
        <v>26012025</v>
      </c>
      <c r="D21">
        <v>25220728</v>
      </c>
      <c r="E21"/>
      <c r="F21">
        <v>8</v>
      </c>
      <c r="G21" t="str">
        <f t="shared" si="0"/>
        <v>ok</v>
      </c>
      <c r="K21" s="119"/>
    </row>
    <row r="22" spans="1:11" x14ac:dyDescent="0.25">
      <c r="A22" t="s">
        <v>126</v>
      </c>
      <c r="B22">
        <f t="shared" si="2"/>
        <v>26010</v>
      </c>
      <c r="C22">
        <v>26012026</v>
      </c>
      <c r="D22">
        <v>45700796</v>
      </c>
      <c r="E22"/>
      <c r="F22">
        <v>8</v>
      </c>
      <c r="G22" t="str">
        <f t="shared" si="0"/>
        <v>ok</v>
      </c>
      <c r="H22" s="101"/>
      <c r="K22" s="119"/>
    </row>
    <row r="23" spans="1:11" x14ac:dyDescent="0.25">
      <c r="A23"/>
      <c r="B23"/>
      <c r="C23"/>
      <c r="D23" s="97">
        <f>SUM(D13:D22)</f>
        <v>518690515</v>
      </c>
      <c r="E23"/>
      <c r="F23">
        <v>8</v>
      </c>
      <c r="G23" t="str">
        <f t="shared" si="0"/>
        <v>CAMBIA JUEGO OK</v>
      </c>
    </row>
    <row r="24" spans="1:11" x14ac:dyDescent="0.25">
      <c r="A24"/>
      <c r="B24"/>
      <c r="C24"/>
      <c r="D24"/>
      <c r="E24"/>
      <c r="F24"/>
      <c r="G24" t="str">
        <f t="shared" si="0"/>
        <v/>
      </c>
    </row>
    <row r="25" spans="1:11" x14ac:dyDescent="0.25">
      <c r="A25"/>
      <c r="B25"/>
      <c r="C25"/>
      <c r="D25"/>
      <c r="E25"/>
      <c r="F25"/>
      <c r="G25" t="str">
        <f t="shared" si="0"/>
        <v/>
      </c>
    </row>
    <row r="26" spans="1:11" x14ac:dyDescent="0.25">
      <c r="A26"/>
      <c r="B26"/>
      <c r="C26"/>
      <c r="D26"/>
      <c r="E26"/>
      <c r="F26"/>
      <c r="G26" t="str">
        <f t="shared" si="0"/>
        <v/>
      </c>
    </row>
    <row r="27" spans="1:11" x14ac:dyDescent="0.25">
      <c r="A27"/>
      <c r="B27"/>
      <c r="C27"/>
      <c r="D27"/>
      <c r="E27"/>
      <c r="F27"/>
      <c r="G27" t="str">
        <f t="shared" si="0"/>
        <v/>
      </c>
    </row>
    <row r="28" spans="1:11" x14ac:dyDescent="0.25">
      <c r="A28"/>
      <c r="B28"/>
      <c r="C28"/>
      <c r="D28"/>
      <c r="E28"/>
      <c r="F28"/>
      <c r="G28" t="str">
        <f t="shared" si="0"/>
        <v/>
      </c>
    </row>
    <row r="29" spans="1:11" x14ac:dyDescent="0.25">
      <c r="A29"/>
      <c r="B29"/>
      <c r="C29"/>
      <c r="D29"/>
      <c r="E29"/>
      <c r="F29"/>
      <c r="G29" t="str">
        <f t="shared" si="0"/>
        <v/>
      </c>
    </row>
    <row r="30" spans="1:11" x14ac:dyDescent="0.25">
      <c r="A30"/>
      <c r="B30"/>
      <c r="C30"/>
      <c r="D30"/>
      <c r="E30"/>
      <c r="F30"/>
      <c r="G30" t="str">
        <f t="shared" si="0"/>
        <v/>
      </c>
    </row>
    <row r="31" spans="1:11" x14ac:dyDescent="0.25">
      <c r="A31"/>
      <c r="B31"/>
      <c r="C31"/>
      <c r="D31"/>
      <c r="E31"/>
      <c r="F31"/>
      <c r="G31" t="str">
        <f t="shared" si="0"/>
        <v/>
      </c>
    </row>
    <row r="32" spans="1:11" x14ac:dyDescent="0.25">
      <c r="A32"/>
      <c r="B32"/>
      <c r="C32"/>
      <c r="D32"/>
      <c r="E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</sheetData>
  <sortState xmlns:xlrd2="http://schemas.microsoft.com/office/spreadsheetml/2017/richdata2" ref="A2:F22">
    <sortCondition ref="A2:A22"/>
    <sortCondition ref="B2:B22"/>
  </sortState>
  <mergeCells count="1">
    <mergeCell ref="I1:I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P96"/>
  <sheetViews>
    <sheetView topLeftCell="A54" workbookViewId="0">
      <selection activeCell="N37" sqref="N37"/>
    </sheetView>
  </sheetViews>
  <sheetFormatPr baseColWidth="10" defaultRowHeight="15" x14ac:dyDescent="0.25"/>
  <cols>
    <col min="1" max="1" width="43.42578125" bestFit="1" customWidth="1"/>
    <col min="2" max="2" width="31.28515625" bestFit="1" customWidth="1"/>
    <col min="3" max="3" width="6.7109375" bestFit="1" customWidth="1"/>
    <col min="4" max="4" width="25.7109375" bestFit="1" customWidth="1"/>
    <col min="5" max="6" width="18.42578125" bestFit="1" customWidth="1"/>
    <col min="7" max="7" width="19.28515625" bestFit="1" customWidth="1"/>
    <col min="8" max="8" width="18.28515625" customWidth="1"/>
    <col min="9" max="9" width="19.5703125" customWidth="1"/>
    <col min="10" max="10" width="22.7109375" bestFit="1" customWidth="1"/>
    <col min="11" max="11" width="15.28515625" bestFit="1" customWidth="1"/>
    <col min="12" max="12" width="17.28515625" bestFit="1" customWidth="1"/>
    <col min="13" max="13" width="9.28515625" bestFit="1" customWidth="1"/>
    <col min="14" max="14" width="18.28515625" style="197" bestFit="1" customWidth="1"/>
    <col min="16" max="16" width="16.42578125" bestFit="1" customWidth="1"/>
  </cols>
  <sheetData>
    <row r="1" spans="1:16" ht="15.75" thickBot="1" x14ac:dyDescent="0.3">
      <c r="A1" s="1"/>
      <c r="B1" s="2"/>
      <c r="C1" s="3"/>
      <c r="D1" s="2"/>
      <c r="E1" s="220" t="s">
        <v>0</v>
      </c>
      <c r="F1" s="221"/>
      <c r="G1" s="220" t="s">
        <v>1</v>
      </c>
      <c r="H1" s="221"/>
    </row>
    <row r="2" spans="1:16" ht="15.75" thickBot="1" x14ac:dyDescent="0.3">
      <c r="A2" s="4" t="s">
        <v>2</v>
      </c>
      <c r="B2" s="5"/>
      <c r="C2" s="6"/>
      <c r="D2" s="5"/>
      <c r="E2" s="7" t="s">
        <v>3</v>
      </c>
      <c r="F2" s="7" t="s">
        <v>4</v>
      </c>
      <c r="G2" s="7" t="s">
        <v>3</v>
      </c>
      <c r="H2" s="7" t="s">
        <v>4</v>
      </c>
    </row>
    <row r="3" spans="1:16" x14ac:dyDescent="0.25">
      <c r="A3" s="8" t="s">
        <v>5</v>
      </c>
      <c r="B3" s="9"/>
      <c r="C3" s="10"/>
      <c r="D3" s="11"/>
      <c r="E3" s="12">
        <f>SUMIF($A$10:$A$86,A3,$E$10:$E$86)</f>
        <v>0</v>
      </c>
      <c r="F3" s="13">
        <f t="shared" ref="F3:F17" si="0">E3/$E$18</f>
        <v>0</v>
      </c>
      <c r="G3" s="14"/>
      <c r="H3" s="13"/>
      <c r="J3" s="101">
        <v>105000000</v>
      </c>
    </row>
    <row r="4" spans="1:16" x14ac:dyDescent="0.25">
      <c r="A4" s="139" t="s">
        <v>49</v>
      </c>
      <c r="B4" s="175"/>
      <c r="C4" s="3"/>
      <c r="D4" s="134">
        <f t="shared" ref="D4:D17" si="1">E4/($E$18+$G$18)*100</f>
        <v>0.18289472938331636</v>
      </c>
      <c r="E4" s="144">
        <f>SUM(SUMIF('mensual gral.'!$B:$B,'total gral.'!A4,'mensual gral.'!$J:$J)-SUMIF('mensual gral.'!$B:$B,'total gral.'!A4,'mensual gral.'!$F:$F))*0.9</f>
        <v>49222080</v>
      </c>
      <c r="F4" s="13">
        <f t="shared" si="0"/>
        <v>2.3665123974204671E-3</v>
      </c>
      <c r="G4" s="16"/>
      <c r="H4" s="13"/>
      <c r="I4">
        <f t="shared" ref="I4:I17" si="2">E4/$E$35</f>
        <v>1.7110439505401526E-3</v>
      </c>
      <c r="J4" s="97">
        <f>$J$3*I4</f>
        <v>179659.61480671604</v>
      </c>
      <c r="K4" s="110">
        <f>6-(6*20.2/100)</f>
        <v>4.7880000000000003</v>
      </c>
      <c r="L4" s="126">
        <f>J4*K$4/100</f>
        <v>8602.1023569455647</v>
      </c>
      <c r="N4" s="197">
        <f>E4-J4</f>
        <v>49042420.385193281</v>
      </c>
      <c r="O4">
        <f>K4*0.75</f>
        <v>3.5910000000000002</v>
      </c>
      <c r="P4" s="119">
        <f>N4*$O$4/100</f>
        <v>1761113.3160322907</v>
      </c>
    </row>
    <row r="5" spans="1:16" x14ac:dyDescent="0.25">
      <c r="A5" s="139" t="s">
        <v>156</v>
      </c>
      <c r="B5" s="175"/>
      <c r="C5" s="3"/>
      <c r="D5" s="134">
        <f t="shared" si="1"/>
        <v>0.68569499540877088</v>
      </c>
      <c r="E5" s="12">
        <f>(SUMIF('mensual gral.'!$B:$B,'total gral.'!A5,'mensual gral.'!$H:$H))*0.75</f>
        <v>184539675</v>
      </c>
      <c r="F5" s="13">
        <f t="shared" si="0"/>
        <v>8.8723481149809956E-3</v>
      </c>
      <c r="G5" s="145">
        <f>SUM(SUMIF('mensual gral.'!$B:$B,'total gral.'!A5,'mensual gral.'!$J:$J)-SUMIF('mensual gral.'!$B:$B,'total gral.'!A5,'mensual gral.'!$H:$H)-SUMIF('mensual gral.'!$B:$B,'total gral.'!A5,'mensual gral.'!$F:$F))*0.75</f>
        <v>1195687875</v>
      </c>
      <c r="H5" s="13">
        <f t="shared" ref="H5:H17" si="3">G5/$G$18</f>
        <v>0.19558555155114374</v>
      </c>
      <c r="I5">
        <f t="shared" si="2"/>
        <v>6.4149157155365209E-3</v>
      </c>
      <c r="J5" s="97">
        <f t="shared" ref="J5:J16" si="4">$J$3*I5</f>
        <v>673566.15013133467</v>
      </c>
      <c r="L5" s="126">
        <f t="shared" ref="L5:L16" si="5">J5*K$4/100</f>
        <v>32250.347268288308</v>
      </c>
      <c r="N5" s="197">
        <f t="shared" ref="N5:N16" si="6">E5-J5</f>
        <v>183866108.84986866</v>
      </c>
      <c r="P5" s="119">
        <f t="shared" ref="P5:P16" si="7">N5*$O$4/100</f>
        <v>6602631.9687987836</v>
      </c>
    </row>
    <row r="6" spans="1:16" x14ac:dyDescent="0.25">
      <c r="A6" s="137" t="s">
        <v>155</v>
      </c>
      <c r="B6" s="175"/>
      <c r="C6" s="3"/>
      <c r="D6" s="134">
        <f t="shared" si="1"/>
        <v>0.34284749770438544</v>
      </c>
      <c r="E6" s="12">
        <f>(SUMIF('mensual gral.'!$B:$B,'total gral.'!A6,'mensual gral.'!$H:$H))*0.75</f>
        <v>92269837.5</v>
      </c>
      <c r="F6" s="13">
        <f t="shared" si="0"/>
        <v>4.4361740574904978E-3</v>
      </c>
      <c r="G6" s="145">
        <f>SUM(SUMIF('mensual gral.'!$B:$B,'total gral.'!A6,'mensual gral.'!$J:$J)-SUMIF('mensual gral.'!$B:$B,'total gral.'!A6,'mensual gral.'!$H:$H)-SUMIF('mensual gral.'!$B:$B,'total gral.'!A6,'mensual gral.'!$F:$F))*0.75</f>
        <v>597843937.5</v>
      </c>
      <c r="H6" s="13">
        <f t="shared" si="3"/>
        <v>9.7792775775571869E-2</v>
      </c>
      <c r="I6">
        <f t="shared" si="2"/>
        <v>3.2074578577682604E-3</v>
      </c>
      <c r="J6" s="97">
        <f t="shared" si="4"/>
        <v>336783.07506566733</v>
      </c>
      <c r="L6" s="126">
        <f t="shared" si="5"/>
        <v>16125.173634144154</v>
      </c>
      <c r="N6" s="197">
        <f t="shared" si="6"/>
        <v>91933054.424934328</v>
      </c>
      <c r="P6" s="119">
        <f t="shared" si="7"/>
        <v>3301315.9843993918</v>
      </c>
    </row>
    <row r="7" spans="1:16" x14ac:dyDescent="0.25">
      <c r="A7" s="139" t="s">
        <v>157</v>
      </c>
      <c r="B7" s="175"/>
      <c r="C7" s="3"/>
      <c r="D7" s="134">
        <f t="shared" si="1"/>
        <v>0.75426449494964787</v>
      </c>
      <c r="E7" s="12">
        <f>(SUMIF('mensual gral.'!$B:$B,'total gral.'!A7,'mensual gral.'!$H:$H))*0.75</f>
        <v>202993642.5</v>
      </c>
      <c r="F7" s="13">
        <f t="shared" si="0"/>
        <v>9.7595829264790959E-3</v>
      </c>
      <c r="G7" s="145">
        <f>SUM(SUMIF('mensual gral.'!$B:$B,'total gral.'!A7,'mensual gral.'!$J:$J)-SUMIF('mensual gral.'!$B:$B,'total gral.'!A7,'mensual gral.'!$H:$H)-SUMIF('mensual gral.'!$B:$B,'total gral.'!A7,'mensual gral.'!$F:$F))*0.75</f>
        <v>1315256662.5</v>
      </c>
      <c r="H7" s="13">
        <f t="shared" si="3"/>
        <v>0.21514410670625811</v>
      </c>
      <c r="I7">
        <f t="shared" si="2"/>
        <v>7.0564072870901726E-3</v>
      </c>
      <c r="J7" s="97">
        <f t="shared" si="4"/>
        <v>740922.76514446817</v>
      </c>
      <c r="L7" s="126">
        <f t="shared" si="5"/>
        <v>35475.381995117139</v>
      </c>
      <c r="N7" s="197">
        <f t="shared" si="6"/>
        <v>202252719.73485553</v>
      </c>
      <c r="P7" s="119">
        <f t="shared" si="7"/>
        <v>7262895.1656786622</v>
      </c>
    </row>
    <row r="8" spans="1:16" x14ac:dyDescent="0.25">
      <c r="A8" s="139" t="s">
        <v>121</v>
      </c>
      <c r="B8" s="175"/>
      <c r="C8" s="3"/>
      <c r="D8" s="134">
        <f t="shared" si="1"/>
        <v>0.12289694328953973</v>
      </c>
      <c r="E8" s="144">
        <f>SUM(SUMIF('mensual gral.'!$B:$B,'total gral.'!A8,'mensual gral.'!$H:$H)+SUMIF('mensual gral.'!$B:$B,'total gral.'!A8,'mensual gral.'!$F:$F))*0.75</f>
        <v>33075000</v>
      </c>
      <c r="F8" s="13">
        <f t="shared" si="0"/>
        <v>1.590188743439569E-3</v>
      </c>
      <c r="G8" s="145">
        <f>SUM(SUMIF('mensual gral.'!$B:$B,'total gral.'!A8,'mensual gral.'!$J:$J)-SUMIF('mensual gral.'!$B:$B,'total gral.'!A8,'mensual gral.'!$H:$H)-SUMIF('mensual gral.'!$B:$B,'total gral.'!A8,'mensual gral.'!$F:$F))*0.75</f>
        <v>105738600</v>
      </c>
      <c r="H8" s="13">
        <f t="shared" si="3"/>
        <v>1.7296271739182575E-2</v>
      </c>
      <c r="I8">
        <f t="shared" si="2"/>
        <v>1.1497437463860842E-3</v>
      </c>
      <c r="J8" s="97">
        <f t="shared" si="4"/>
        <v>120723.09337053885</v>
      </c>
      <c r="L8" s="126">
        <f t="shared" si="5"/>
        <v>5780.2217105813997</v>
      </c>
      <c r="N8" s="197">
        <f t="shared" si="6"/>
        <v>32954276.906629462</v>
      </c>
      <c r="P8" s="119">
        <f t="shared" si="7"/>
        <v>1183388.083717064</v>
      </c>
    </row>
    <row r="9" spans="1:16" x14ac:dyDescent="0.25">
      <c r="A9" s="15" t="s">
        <v>164</v>
      </c>
      <c r="B9" s="175"/>
      <c r="C9" s="3"/>
      <c r="D9" s="134">
        <f t="shared" si="1"/>
        <v>0.75426449494964787</v>
      </c>
      <c r="E9" s="12">
        <f>(SUMIF('mensual gral.'!$B:$B,'total gral.'!A9,'mensual gral.'!$H:$H))*0.75</f>
        <v>202993642.5</v>
      </c>
      <c r="F9" s="13">
        <f t="shared" si="0"/>
        <v>9.7595829264790959E-3</v>
      </c>
      <c r="G9" s="16">
        <f>SUM(SUMIF('mensual gral.'!$B:$B,'total gral.'!A9,'mensual gral.'!$J:$J)-SUMIF('mensual gral.'!$B:$B,'total gral.'!A9,'mensual gral.'!$H:$H)-SUMIF('mensual gral.'!$B:$B,'total gral.'!A9,'mensual gral.'!$F:$F))*0.75</f>
        <v>1315256662.5</v>
      </c>
      <c r="H9" s="13">
        <f t="shared" si="3"/>
        <v>0.21514410670625811</v>
      </c>
      <c r="I9">
        <f t="shared" si="2"/>
        <v>7.0564072870901726E-3</v>
      </c>
      <c r="J9" s="97">
        <f t="shared" si="4"/>
        <v>740922.76514446817</v>
      </c>
      <c r="L9" s="126">
        <f t="shared" si="5"/>
        <v>35475.381995117139</v>
      </c>
      <c r="N9" s="197">
        <f t="shared" si="6"/>
        <v>202252719.73485553</v>
      </c>
      <c r="P9" s="119">
        <f t="shared" si="7"/>
        <v>7262895.1656786622</v>
      </c>
    </row>
    <row r="10" spans="1:16" x14ac:dyDescent="0.25">
      <c r="A10" s="15" t="s">
        <v>165</v>
      </c>
      <c r="B10" s="175"/>
      <c r="C10" s="3"/>
      <c r="D10" s="134">
        <f t="shared" si="1"/>
        <v>0.89140349403140207</v>
      </c>
      <c r="E10" s="12">
        <f>(SUMIF('mensual gral.'!$B:$B,'total gral.'!A10,'mensual gral.'!$H:$H))*0.75</f>
        <v>239901577.5</v>
      </c>
      <c r="F10" s="13">
        <f t="shared" si="0"/>
        <v>1.1534052549475295E-2</v>
      </c>
      <c r="G10" s="16">
        <f>SUM(SUMIF('mensual gral.'!$B:$B,'total gral.'!A10,'mensual gral.'!$J:$J)-SUMIF('mensual gral.'!$B:$B,'total gral.'!A10,'mensual gral.'!$H:$H)-SUMIF('mensual gral.'!$B:$B,'total gral.'!A10,'mensual gral.'!$F:$F))*0.75</f>
        <v>1554394237.5</v>
      </c>
      <c r="H10" s="13">
        <f t="shared" si="3"/>
        <v>0.25426121701648685</v>
      </c>
      <c r="I10">
        <f t="shared" si="2"/>
        <v>8.3393904301974769E-3</v>
      </c>
      <c r="J10" s="97">
        <f t="shared" si="4"/>
        <v>875635.99517073506</v>
      </c>
      <c r="L10" s="126">
        <f t="shared" si="5"/>
        <v>41925.451448774802</v>
      </c>
      <c r="N10" s="197">
        <f t="shared" si="6"/>
        <v>239025941.50482926</v>
      </c>
      <c r="P10" s="119">
        <f t="shared" si="7"/>
        <v>8583421.5594384186</v>
      </c>
    </row>
    <row r="11" spans="1:16" x14ac:dyDescent="0.25">
      <c r="A11" s="139" t="s">
        <v>159</v>
      </c>
      <c r="B11" s="175"/>
      <c r="C11" s="3"/>
      <c r="D11" s="134">
        <f t="shared" si="1"/>
        <v>1.7132862215924058</v>
      </c>
      <c r="E11" s="144">
        <f>SUM(SUMIF('mensual gral.'!$B:$B,'total gral.'!A11,'mensual gral.'!$J:$J)-SUMIF('mensual gral.'!$B:$B,'total gral.'!A11,'mensual gral.'!$F:$F))*0.9</f>
        <v>461093175</v>
      </c>
      <c r="F11" s="13">
        <f t="shared" si="0"/>
        <v>2.2168561649639044E-2</v>
      </c>
      <c r="G11" s="16">
        <f>SUM(SUMIF('mensual gral.'!$B:$B,'total gral.'!A11,'mensual gral.'!$J:$J)-SUMIF('mensual gral.'!$B:$B,'total gral.'!A11,'mensual gral.'!$H:$H))-SUMIF('mensual gral.'!$B:$B,'total gral.'!A11,'mensual gral.'!$F:$F)</f>
        <v>0</v>
      </c>
      <c r="H11" s="13">
        <f t="shared" si="3"/>
        <v>0</v>
      </c>
      <c r="I11">
        <f t="shared" si="2"/>
        <v>1.6028389855103686E-2</v>
      </c>
      <c r="J11" s="97">
        <f t="shared" si="4"/>
        <v>1682980.9347858871</v>
      </c>
      <c r="L11" s="126">
        <f t="shared" si="5"/>
        <v>80581.127157548282</v>
      </c>
      <c r="N11" s="197">
        <f t="shared" si="6"/>
        <v>459410194.0652141</v>
      </c>
      <c r="P11" s="119">
        <f t="shared" si="7"/>
        <v>16497420.068881838</v>
      </c>
    </row>
    <row r="12" spans="1:16" x14ac:dyDescent="0.25">
      <c r="A12" s="139" t="s">
        <v>160</v>
      </c>
      <c r="B12" s="175"/>
      <c r="C12" s="3"/>
      <c r="D12" s="134">
        <f t="shared" si="1"/>
        <v>1.7056766435119881</v>
      </c>
      <c r="E12" s="144">
        <f>SUM(SUMIF('mensual gral.'!$B:$B,'total gral.'!A12,'mensual gral.'!$J:$J)-SUMIF('mensual gral.'!$B:$B,'total gral.'!A12,'mensual gral.'!$F:$F))*0.9</f>
        <v>459045225</v>
      </c>
      <c r="F12" s="13">
        <f t="shared" si="0"/>
        <v>2.2070099758871784E-2</v>
      </c>
      <c r="G12" s="16">
        <f>SUM(SUMIF('mensual gral.'!$B:$B,'total gral.'!A12,'mensual gral.'!$J:$J)-SUMIF('mensual gral.'!$B:$B,'total gral.'!A12,'mensual gral.'!$H:$H))-SUMIF('mensual gral.'!$B:$B,'total gral.'!A12,'mensual gral.'!$F:$F)</f>
        <v>0</v>
      </c>
      <c r="H12" s="13">
        <f t="shared" si="3"/>
        <v>0</v>
      </c>
      <c r="I12">
        <f t="shared" si="2"/>
        <v>1.5957199599460105E-2</v>
      </c>
      <c r="J12" s="97">
        <f t="shared" si="4"/>
        <v>1675505.957943311</v>
      </c>
      <c r="L12" s="126">
        <f t="shared" si="5"/>
        <v>80223.225266325739</v>
      </c>
      <c r="N12" s="197">
        <f t="shared" si="6"/>
        <v>457369719.04205668</v>
      </c>
      <c r="P12" s="119">
        <f t="shared" si="7"/>
        <v>16424146.610800257</v>
      </c>
    </row>
    <row r="13" spans="1:16" x14ac:dyDescent="0.25">
      <c r="A13" s="139" t="s">
        <v>158</v>
      </c>
      <c r="B13" s="175"/>
      <c r="C13" s="3"/>
      <c r="D13" s="134">
        <f t="shared" si="1"/>
        <v>3.4318344388383113</v>
      </c>
      <c r="E13" s="144">
        <f>SUM((SUMIF('mensual gral.'!$B:$B,'total gral.'!A13,'mensual gral.'!$J:$J)-SUMIF('mensual gral.'!$B:$B,'total gral.'!A13,'mensual gral.'!$F:$F))*0.9)*2</f>
        <v>923602500</v>
      </c>
      <c r="F13" s="13">
        <f t="shared" si="0"/>
        <v>4.4405209339762497E-2</v>
      </c>
      <c r="G13" s="16">
        <f>SUM(SUMIF('mensual gral.'!$B:$B,'total gral.'!A13,'mensual gral.'!$J:$J)-SUMIF('mensual gral.'!$B:$B,'total gral.'!A13,'mensual gral.'!$H:$H))-SUMIF('mensual gral.'!$B:$B,'total gral.'!A13,'mensual gral.'!$F:$F)</f>
        <v>0</v>
      </c>
      <c r="H13" s="13">
        <f t="shared" si="3"/>
        <v>0</v>
      </c>
      <c r="I13">
        <f t="shared" si="2"/>
        <v>3.2106007513879167E-2</v>
      </c>
      <c r="J13" s="97">
        <f t="shared" si="4"/>
        <v>3371130.7889573127</v>
      </c>
      <c r="L13" s="126">
        <f t="shared" si="5"/>
        <v>161409.74217527616</v>
      </c>
      <c r="N13" s="197">
        <f t="shared" si="6"/>
        <v>920231369.21104264</v>
      </c>
      <c r="P13" s="119">
        <f t="shared" si="7"/>
        <v>33045508.468368545</v>
      </c>
    </row>
    <row r="14" spans="1:16" x14ac:dyDescent="0.25">
      <c r="A14" s="137" t="s">
        <v>50</v>
      </c>
      <c r="B14" s="175"/>
      <c r="C14" s="3"/>
      <c r="D14" s="134">
        <f t="shared" si="1"/>
        <v>62.100133208619212</v>
      </c>
      <c r="E14" s="144">
        <f>SUM(SUMIF('mensual gral.'!$B:$B,'total gral.'!A14,'mensual gral.'!$J:$J)-SUMIF('mensual gral.'!$B:$B,'total gral.'!A14,'mensual gral.'!$F:$F))</f>
        <v>16712880328</v>
      </c>
      <c r="F14" s="13">
        <f t="shared" si="0"/>
        <v>0.80352635428686958</v>
      </c>
      <c r="G14" s="16">
        <f>SUM(SUMIF('mensual gral.'!$B:$B,'total gral.'!A14,'mensual gral.'!$J:$J)-SUMIF('mensual gral.'!$B:$B,'total gral.'!A14,'mensual gral.'!$H:$H))-SUMIF('mensual gral.'!$B:$B,'total gral.'!A14,'mensual gral.'!$F:$F)</f>
        <v>0</v>
      </c>
      <c r="H14" s="13">
        <f t="shared" si="3"/>
        <v>0</v>
      </c>
      <c r="I14">
        <f t="shared" si="2"/>
        <v>0.58096839429227543</v>
      </c>
      <c r="J14" s="97">
        <f t="shared" si="4"/>
        <v>61001681.400688916</v>
      </c>
      <c r="L14" s="126">
        <f>J14*K$4/100</f>
        <v>2920760.5054649855</v>
      </c>
      <c r="N14" s="197">
        <f t="shared" si="6"/>
        <v>16651878646.599312</v>
      </c>
      <c r="P14" s="119">
        <f t="shared" si="7"/>
        <v>597968962.19938135</v>
      </c>
    </row>
    <row r="15" spans="1:16" ht="15.75" thickBot="1" x14ac:dyDescent="0.3">
      <c r="A15" s="138" t="s">
        <v>161</v>
      </c>
      <c r="B15" s="174"/>
      <c r="C15" s="3"/>
      <c r="D15" s="134">
        <f t="shared" si="1"/>
        <v>4.3858836882728838</v>
      </c>
      <c r="E15" s="144">
        <f>SUM(SUMIF('mensual gral.'!$B:$B,'total gral.'!A15,'mensual gral.'!$H:$H)+SUMIF('mensual gral.'!$B:$B,'total gral.'!A15,'mensual gral.'!$F:$F))</f>
        <v>1180363800</v>
      </c>
      <c r="F15" s="13">
        <f t="shared" si="0"/>
        <v>5.674984816095404E-2</v>
      </c>
      <c r="G15" s="145">
        <f>SUM(SUMIF('mensual gral.'!$B:$B,'total gral.'!A15,'mensual gral.'!$J:$J)-SUMIF('mensual gral.'!$B:$B,'total gral.'!A15,'mensual gral.'!$H:$H))-SUMIF('mensual gral.'!$B:$B,'total gral.'!A15,'mensual gral.'!$F:$F)</f>
        <v>29197300</v>
      </c>
      <c r="H15" s="13">
        <f t="shared" si="3"/>
        <v>4.7759705050987563E-3</v>
      </c>
      <c r="I15">
        <f t="shared" si="2"/>
        <v>4.1031470824203012E-2</v>
      </c>
      <c r="J15" s="97">
        <f t="shared" si="4"/>
        <v>4308304.4365413161</v>
      </c>
      <c r="L15" s="126">
        <f t="shared" si="5"/>
        <v>206281.61642159824</v>
      </c>
      <c r="N15" s="197">
        <f t="shared" si="6"/>
        <v>1176055495.5634587</v>
      </c>
      <c r="P15" s="119">
        <f t="shared" si="7"/>
        <v>42232152.845683806</v>
      </c>
    </row>
    <row r="16" spans="1:16" ht="15.75" thickBot="1" x14ac:dyDescent="0.3">
      <c r="A16" s="138" t="s">
        <v>162</v>
      </c>
      <c r="B16" s="173"/>
      <c r="C16" s="17"/>
      <c r="D16" s="134">
        <f t="shared" si="1"/>
        <v>7.2387209945266984E-2</v>
      </c>
      <c r="E16" s="144">
        <f>SUM(SUMIF('mensual gral.'!$B:$B,'total gral.'!A16,'mensual gral.'!$H:$H)+SUMIF('mensual gral.'!$B:$B,'total gral.'!A16,'mensual gral.'!$F:$F))</f>
        <v>19481420</v>
      </c>
      <c r="F16" s="13">
        <f t="shared" si="0"/>
        <v>9.3663294906178355E-4</v>
      </c>
      <c r="G16" s="16">
        <f>SUM(SUMIF('mensual gral.'!$B:$B,'total gral.'!A16,'mensual gral.'!$J:$J)-SUMIF('mensual gral.'!$B:$B,'total gral.'!A16,'mensual gral.'!$H:$H))-SUMIF('mensual gral.'!$B:$B,'total gral.'!A16,'mensual gral.'!$F:$F)</f>
        <v>0</v>
      </c>
      <c r="H16" s="13">
        <f t="shared" si="3"/>
        <v>0</v>
      </c>
      <c r="I16">
        <f t="shared" si="2"/>
        <v>6.772075832417472E-4</v>
      </c>
      <c r="J16" s="97">
        <f t="shared" si="4"/>
        <v>71106.796240383454</v>
      </c>
      <c r="L16" s="126">
        <f t="shared" si="5"/>
        <v>3404.5934039895596</v>
      </c>
      <c r="N16" s="197">
        <f t="shared" si="6"/>
        <v>19410313.203759618</v>
      </c>
      <c r="P16" s="119">
        <f t="shared" si="7"/>
        <v>697024.34714700794</v>
      </c>
    </row>
    <row r="17" spans="1:16" ht="15.75" thickBot="1" x14ac:dyDescent="0.3">
      <c r="A17" s="138" t="s">
        <v>195</v>
      </c>
      <c r="B17" s="173"/>
      <c r="C17" s="3"/>
      <c r="D17" s="134">
        <f t="shared" si="1"/>
        <v>0.14103278668842317</v>
      </c>
      <c r="E17" s="144">
        <f>SUM(SUMIF('mensual gral.'!$B:$B,'total gral.'!A17,'mensual gral.'!$J:$J)-SUMIF('mensual gral.'!$B:$B,'total gral.'!A17,'mensual gral.'!$F:$F))</f>
        <v>37955862</v>
      </c>
      <c r="F17" s="13">
        <f t="shared" si="0"/>
        <v>1.8248521390762113E-3</v>
      </c>
      <c r="G17" s="16"/>
      <c r="H17" s="13">
        <f t="shared" si="3"/>
        <v>0</v>
      </c>
      <c r="I17">
        <f t="shared" si="2"/>
        <v>1.3194108835432566E-3</v>
      </c>
      <c r="J17" s="97">
        <f t="shared" ref="J17" si="8">$J$3*I17</f>
        <v>138538.14277204193</v>
      </c>
      <c r="L17" s="126">
        <f t="shared" ref="L17" si="9">J17*K$4/100</f>
        <v>6633.2062759253686</v>
      </c>
      <c r="P17" s="119"/>
    </row>
    <row r="18" spans="1:16" ht="15.75" thickBot="1" x14ac:dyDescent="0.3">
      <c r="C18" s="3"/>
      <c r="D18" s="2"/>
      <c r="E18" s="18">
        <f>SUM(E3:E17)</f>
        <v>20799417765</v>
      </c>
      <c r="F18" s="19">
        <f>SUM(F3:F17)</f>
        <v>1</v>
      </c>
      <c r="G18" s="20">
        <f>SUM(G3:G17)</f>
        <v>6113375275</v>
      </c>
      <c r="H18" s="19">
        <f>SUM(H3:H17)</f>
        <v>1</v>
      </c>
    </row>
    <row r="19" spans="1:16" x14ac:dyDescent="0.25">
      <c r="B19" s="2"/>
      <c r="C19" s="3"/>
      <c r="D19" s="2"/>
      <c r="E19" s="142"/>
      <c r="F19" s="143"/>
      <c r="G19" s="142"/>
      <c r="H19" s="143"/>
    </row>
    <row r="20" spans="1:16" x14ac:dyDescent="0.25">
      <c r="B20" s="173"/>
      <c r="C20" s="3"/>
      <c r="D20" s="2"/>
      <c r="E20" s="12"/>
      <c r="F20" s="143"/>
      <c r="G20" s="142"/>
      <c r="H20" s="143"/>
    </row>
    <row r="21" spans="1:16" x14ac:dyDescent="0.25">
      <c r="A21" s="137" t="s">
        <v>50</v>
      </c>
      <c r="B21" s="173"/>
      <c r="C21" s="3"/>
      <c r="D21" s="2"/>
      <c r="E21" s="12">
        <f>SUM(SUMIF('mensual gral.'!$B:$B,'total gral.'!A21,'mensual gral.'!$F:$F))</f>
        <v>22085231</v>
      </c>
      <c r="F21" s="143">
        <f>+E21/E28</f>
        <v>0.64052821664772408</v>
      </c>
      <c r="G21" s="142"/>
      <c r="H21" s="143"/>
    </row>
    <row r="22" spans="1:16" x14ac:dyDescent="0.25">
      <c r="A22" s="152" t="s">
        <v>195</v>
      </c>
      <c r="B22" s="173"/>
      <c r="C22" s="3"/>
      <c r="D22" s="2"/>
      <c r="E22" s="12">
        <f>SUM(SUMIF('mensual gral.'!$B:$B,'total gral.'!A22,'mensual gral.'!$F:$F))</f>
        <v>555485</v>
      </c>
      <c r="F22" s="143">
        <f>+E22/E28</f>
        <v>1.6110486524889011E-2</v>
      </c>
      <c r="G22" s="142"/>
      <c r="H22" s="143"/>
    </row>
    <row r="23" spans="1:16" x14ac:dyDescent="0.25">
      <c r="A23" s="139" t="s">
        <v>156</v>
      </c>
      <c r="B23" s="173"/>
      <c r="C23" s="3"/>
      <c r="D23" s="2"/>
      <c r="E23" s="12">
        <f>SUM(SUMIF('mensual gral.'!$B:$B,'total gral.'!A23,'mensual gral.'!$F:$F))</f>
        <v>2367800</v>
      </c>
      <c r="F23" s="143">
        <f>+E23/E28</f>
        <v>6.867225936547737E-2</v>
      </c>
      <c r="G23" s="142"/>
      <c r="H23" s="143"/>
    </row>
    <row r="24" spans="1:16" x14ac:dyDescent="0.25">
      <c r="A24" s="137" t="s">
        <v>155</v>
      </c>
      <c r="B24" s="173"/>
      <c r="C24" s="3"/>
      <c r="D24" s="2"/>
      <c r="E24" s="12">
        <f>SUM(SUMIF('mensual gral.'!$B:$B,'total gral.'!A24,'mensual gral.'!$F:$F))</f>
        <v>1183900</v>
      </c>
      <c r="F24" s="143">
        <f>+E24/E28</f>
        <v>3.4336129682738685E-2</v>
      </c>
      <c r="G24" s="142"/>
      <c r="H24" s="143"/>
    </row>
    <row r="25" spans="1:16" x14ac:dyDescent="0.25">
      <c r="A25" s="139" t="s">
        <v>157</v>
      </c>
      <c r="B25" s="173"/>
      <c r="C25" s="3"/>
      <c r="D25" s="2"/>
      <c r="E25" s="12">
        <f>SUM(SUMIF('mensual gral.'!$B:$B,'total gral.'!A25,'mensual gral.'!$F:$F))</f>
        <v>2604580</v>
      </c>
      <c r="F25" s="143">
        <f>+E25/E28</f>
        <v>7.5539485302025103E-2</v>
      </c>
      <c r="G25" s="142"/>
      <c r="H25" s="143"/>
    </row>
    <row r="26" spans="1:16" x14ac:dyDescent="0.25">
      <c r="A26" s="15" t="s">
        <v>164</v>
      </c>
      <c r="B26" s="173"/>
      <c r="C26" s="3"/>
      <c r="D26" s="2"/>
      <c r="E26" s="12">
        <f>SUM(SUMIF('mensual gral.'!$B:$B,'total gral.'!A26,'mensual gral.'!$F:$F))</f>
        <v>2604580</v>
      </c>
      <c r="F26" s="143">
        <f>+E26/E28</f>
        <v>7.5539485302025103E-2</v>
      </c>
      <c r="G26" s="142"/>
      <c r="H26" s="143"/>
    </row>
    <row r="27" spans="1:16" x14ac:dyDescent="0.25">
      <c r="A27" s="15" t="s">
        <v>165</v>
      </c>
      <c r="B27" s="2"/>
      <c r="C27" s="3"/>
      <c r="D27" s="2"/>
      <c r="E27" s="12">
        <f>SUM(SUMIF('mensual gral.'!$B:$B,'total gral.'!A27,'mensual gral.'!$F:$F))</f>
        <v>3078140</v>
      </c>
      <c r="F27" s="143">
        <f>+E27/E28</f>
        <v>8.9273937175120582E-2</v>
      </c>
      <c r="G27" s="142"/>
      <c r="H27" s="143"/>
    </row>
    <row r="28" spans="1:16" ht="15.75" thickBot="1" x14ac:dyDescent="0.3">
      <c r="B28" s="2"/>
      <c r="C28" s="3"/>
      <c r="D28" s="2"/>
      <c r="E28" s="142">
        <f>SUM(E21:E27)</f>
        <v>34479716</v>
      </c>
      <c r="F28" s="143"/>
      <c r="G28" s="142"/>
      <c r="H28" s="143"/>
      <c r="J28" t="s">
        <v>222</v>
      </c>
    </row>
    <row r="29" spans="1:16" ht="15.75" thickBot="1" x14ac:dyDescent="0.3">
      <c r="B29" s="2"/>
      <c r="C29" s="3"/>
      <c r="D29" s="2"/>
      <c r="E29" s="21"/>
      <c r="F29" s="21"/>
      <c r="G29" s="12"/>
      <c r="H29" s="21"/>
      <c r="J29" s="235" t="s">
        <v>11</v>
      </c>
      <c r="K29" s="236"/>
      <c r="L29" s="237"/>
    </row>
    <row r="30" spans="1:16" ht="27" thickBot="1" x14ac:dyDescent="0.3">
      <c r="A30" s="4" t="s">
        <v>12</v>
      </c>
      <c r="B30" s="5"/>
      <c r="C30" s="22"/>
      <c r="D30" s="5"/>
      <c r="E30" s="7" t="s">
        <v>3</v>
      </c>
      <c r="F30" s="23" t="s">
        <v>4</v>
      </c>
      <c r="G30" s="24" t="s">
        <v>13</v>
      </c>
      <c r="H30" s="24" t="s">
        <v>14</v>
      </c>
      <c r="J30" s="222" t="s">
        <v>15</v>
      </c>
      <c r="K30" s="222" t="s">
        <v>115</v>
      </c>
      <c r="L30" s="222" t="s">
        <v>116</v>
      </c>
      <c r="N30" s="213">
        <v>216640</v>
      </c>
      <c r="O30">
        <v>750</v>
      </c>
    </row>
    <row r="31" spans="1:16" ht="15.75" thickBot="1" x14ac:dyDescent="0.3">
      <c r="A31" s="25" t="s">
        <v>16</v>
      </c>
      <c r="B31" s="26"/>
      <c r="C31" s="27"/>
      <c r="D31" s="26"/>
      <c r="E31" s="28">
        <f>E18</f>
        <v>20799417765</v>
      </c>
      <c r="F31" s="29">
        <f>E31/E35</f>
        <v>0.72302344682631525</v>
      </c>
      <c r="G31" s="30">
        <f>6%/1.21</f>
        <v>4.9586776859504134E-2</v>
      </c>
      <c r="H31" s="31">
        <f>G31-(G31*$D$40)</f>
        <v>3.71900826446281E-2</v>
      </c>
      <c r="I31" s="32"/>
      <c r="J31" s="223"/>
      <c r="K31" s="223"/>
      <c r="L31" s="223"/>
      <c r="N31" s="213">
        <v>86722</v>
      </c>
      <c r="O31">
        <v>1500</v>
      </c>
    </row>
    <row r="32" spans="1:16" ht="15.75" thickBot="1" x14ac:dyDescent="0.3">
      <c r="A32" s="128" t="s">
        <v>142</v>
      </c>
      <c r="B32" s="129"/>
      <c r="C32" s="130"/>
      <c r="D32" s="129"/>
      <c r="E32" s="12">
        <f>E28</f>
        <v>34479716</v>
      </c>
      <c r="F32" s="29">
        <f>E32/E35</f>
        <v>1.1985740846007019E-3</v>
      </c>
      <c r="G32" s="82">
        <f>11%/1.21</f>
        <v>9.0909090909090912E-2</v>
      </c>
      <c r="H32" s="135">
        <f>(0.1465-(0.1465*D40))/1.21</f>
        <v>9.0805785123966948E-2</v>
      </c>
      <c r="I32" s="32"/>
      <c r="J32" s="223"/>
      <c r="K32" s="223"/>
      <c r="L32" s="223"/>
    </row>
    <row r="33" spans="1:15" ht="15.75" thickBot="1" x14ac:dyDescent="0.3">
      <c r="A33" s="33" t="s">
        <v>17</v>
      </c>
      <c r="B33" s="34"/>
      <c r="C33" s="35"/>
      <c r="D33" s="34"/>
      <c r="E33" s="36">
        <f>G18</f>
        <v>6113375275</v>
      </c>
      <c r="F33" s="37">
        <f>E33/E35</f>
        <v>0.2125114132046125</v>
      </c>
      <c r="G33" s="38">
        <f>3%/1.21</f>
        <v>2.4793388429752067E-2</v>
      </c>
      <c r="H33" s="31">
        <f t="shared" ref="H33" si="10">G33-(G33*$D$40)</f>
        <v>1.859504132231405E-2</v>
      </c>
      <c r="I33" s="32"/>
      <c r="J33" s="224"/>
      <c r="K33" s="224"/>
      <c r="L33" s="224"/>
      <c r="M33" t="s">
        <v>117</v>
      </c>
      <c r="N33" s="197" t="s">
        <v>118</v>
      </c>
      <c r="O33" t="s">
        <v>119</v>
      </c>
    </row>
    <row r="34" spans="1:15" ht="15.75" thickBot="1" x14ac:dyDescent="0.3">
      <c r="A34" s="33" t="s">
        <v>18</v>
      </c>
      <c r="B34" s="34"/>
      <c r="C34" s="35"/>
      <c r="D34" s="34"/>
      <c r="E34" s="196">
        <f>SUM(SUMIF('mensual gral.'!$B:$B,J28,'mensual gral.'!$H:$H)+SUMIF('mensual gral.'!$B:$B,'total gral.'!J28,'mensual gral.'!$F:$F))</f>
        <v>1820007000</v>
      </c>
      <c r="F34" s="141">
        <f>+E34/E35</f>
        <v>6.326656588447159E-2</v>
      </c>
      <c r="G34" s="106">
        <v>2.4199999999999999E-2</v>
      </c>
      <c r="H34" s="31">
        <f>G34-(G34*$D$40)</f>
        <v>1.8149999999999999E-2</v>
      </c>
      <c r="I34" s="32"/>
      <c r="J34" s="40">
        <f>(M34*N34)+(M35*N35)</f>
        <v>292563000</v>
      </c>
      <c r="K34" s="103">
        <f>IFERROR((E81/E34)*J34,0)</f>
        <v>171654.91587608738</v>
      </c>
      <c r="L34" s="103">
        <f>IFERROR((F86/E34)*J34,0)</f>
        <v>0</v>
      </c>
      <c r="M34" s="214">
        <v>216640</v>
      </c>
      <c r="N34" s="197">
        <v>750</v>
      </c>
      <c r="O34">
        <v>1500</v>
      </c>
    </row>
    <row r="35" spans="1:15" ht="15.75" thickBot="1" x14ac:dyDescent="0.3">
      <c r="A35" s="218" t="s">
        <v>19</v>
      </c>
      <c r="B35" s="219"/>
      <c r="C35" s="219"/>
      <c r="D35" s="219"/>
      <c r="E35" s="20">
        <f>SUM(E31:E34)</f>
        <v>28767279756</v>
      </c>
      <c r="F35" s="41">
        <f>E35/E35</f>
        <v>1</v>
      </c>
      <c r="G35" s="105"/>
      <c r="H35" s="107"/>
      <c r="M35">
        <v>86722</v>
      </c>
      <c r="N35" s="197">
        <v>1500</v>
      </c>
    </row>
    <row r="36" spans="1:15" x14ac:dyDescent="0.25">
      <c r="A36" s="1"/>
      <c r="B36" s="2"/>
      <c r="C36" s="3"/>
      <c r="D36" s="2"/>
      <c r="E36" s="21"/>
      <c r="F36" s="43"/>
      <c r="G36" s="44"/>
      <c r="H36" s="45"/>
      <c r="J36" s="119"/>
    </row>
    <row r="37" spans="1:15" x14ac:dyDescent="0.25">
      <c r="A37" s="46"/>
      <c r="B37" s="2"/>
      <c r="C37" s="3"/>
      <c r="D37" s="2"/>
      <c r="E37" s="21"/>
      <c r="F37" s="47"/>
      <c r="G37" s="108">
        <f>+G31*1.21</f>
        <v>0.06</v>
      </c>
      <c r="H37" s="108">
        <f>+H31*1.21</f>
        <v>4.4999999999999998E-2</v>
      </c>
    </row>
    <row r="38" spans="1:15" x14ac:dyDescent="0.25">
      <c r="A38" s="48"/>
      <c r="B38" s="2"/>
      <c r="C38" s="3"/>
      <c r="D38" s="2"/>
      <c r="E38" s="49">
        <f>+E35</f>
        <v>28767279756</v>
      </c>
      <c r="F38" s="45"/>
      <c r="G38" s="108">
        <f>+G33*1.21</f>
        <v>0.03</v>
      </c>
      <c r="H38" s="108">
        <f>+H33*1.21</f>
        <v>2.2499999999999999E-2</v>
      </c>
      <c r="O38" s="97"/>
    </row>
    <row r="39" spans="1:15" x14ac:dyDescent="0.25">
      <c r="A39" s="50" t="s">
        <v>20</v>
      </c>
      <c r="C39" s="3"/>
      <c r="D39" s="2"/>
      <c r="E39" s="21">
        <v>105000000</v>
      </c>
      <c r="F39" s="44"/>
      <c r="G39" s="44"/>
      <c r="H39" s="45"/>
      <c r="I39" s="140"/>
    </row>
    <row r="40" spans="1:15" x14ac:dyDescent="0.25">
      <c r="A40" s="50" t="s">
        <v>21</v>
      </c>
      <c r="C40" s="3"/>
      <c r="D40" s="52">
        <v>0.25</v>
      </c>
      <c r="E40" s="21">
        <f>+E35-E39</f>
        <v>28662279756</v>
      </c>
      <c r="F40" s="53"/>
      <c r="G40" s="54"/>
      <c r="H40" s="45"/>
      <c r="I40" s="131"/>
    </row>
    <row r="41" spans="1:15" x14ac:dyDescent="0.25">
      <c r="A41" s="50" t="s">
        <v>22</v>
      </c>
      <c r="C41" s="55"/>
      <c r="E41" s="21"/>
      <c r="F41" s="45"/>
      <c r="G41" s="56"/>
      <c r="H41" s="45"/>
      <c r="I41" s="132"/>
    </row>
    <row r="42" spans="1:15" x14ac:dyDescent="0.25">
      <c r="A42" s="50"/>
      <c r="B42" s="57" t="s">
        <v>23</v>
      </c>
      <c r="C42" s="3" t="s">
        <v>24</v>
      </c>
      <c r="D42" s="58">
        <f>6%/1.21*(1-0.25)</f>
        <v>3.71900826446281E-2</v>
      </c>
      <c r="E42" s="120"/>
      <c r="F42" s="58"/>
      <c r="G42" s="44"/>
      <c r="H42" s="45">
        <f>14.65*0.25</f>
        <v>3.6625000000000001</v>
      </c>
    </row>
    <row r="43" spans="1:15" x14ac:dyDescent="0.25">
      <c r="A43" s="50"/>
      <c r="B43" s="57" t="s">
        <v>25</v>
      </c>
      <c r="C43" s="3" t="s">
        <v>26</v>
      </c>
      <c r="D43" s="58">
        <f>3%/1.21*(1-0.25)</f>
        <v>1.859504132231405E-2</v>
      </c>
      <c r="E43" s="21"/>
      <c r="F43" s="58"/>
      <c r="G43" s="44"/>
      <c r="H43" s="133">
        <f>14.62-H42</f>
        <v>10.9575</v>
      </c>
    </row>
    <row r="44" spans="1:15" x14ac:dyDescent="0.25">
      <c r="A44" s="50"/>
      <c r="B44" s="57" t="s">
        <v>27</v>
      </c>
      <c r="C44" s="3" t="s">
        <v>28</v>
      </c>
      <c r="D44" s="58">
        <f>3%*(1-0.25)</f>
        <v>2.2499999999999999E-2</v>
      </c>
      <c r="E44" s="21"/>
      <c r="F44" s="45"/>
      <c r="G44" s="44"/>
      <c r="H44" s="45"/>
    </row>
    <row r="45" spans="1:15" ht="15.75" thickBot="1" x14ac:dyDescent="0.3">
      <c r="A45" s="50"/>
      <c r="B45" s="57" t="s">
        <v>143</v>
      </c>
      <c r="C45" s="3" t="s">
        <v>144</v>
      </c>
      <c r="D45" s="58">
        <f>14.65*0.25/100</f>
        <v>3.6624999999999998E-2</v>
      </c>
      <c r="E45" s="21"/>
      <c r="F45" s="45"/>
      <c r="G45" s="44"/>
      <c r="H45" s="45"/>
    </row>
    <row r="46" spans="1:15" ht="15.75" thickBot="1" x14ac:dyDescent="0.3">
      <c r="A46" s="225" t="s">
        <v>29</v>
      </c>
      <c r="B46" s="226"/>
      <c r="C46" s="226"/>
      <c r="D46" s="227"/>
      <c r="E46" s="231" t="s">
        <v>3</v>
      </c>
      <c r="F46" s="232"/>
      <c r="G46" s="232"/>
      <c r="H46" s="233"/>
      <c r="I46" s="234" t="s">
        <v>30</v>
      </c>
      <c r="J46" s="234"/>
      <c r="K46" s="234"/>
    </row>
    <row r="47" spans="1:15" ht="39" thickBot="1" x14ac:dyDescent="0.3">
      <c r="A47" s="228"/>
      <c r="B47" s="229"/>
      <c r="C47" s="229"/>
      <c r="D47" s="230"/>
      <c r="E47" s="23" t="s">
        <v>31</v>
      </c>
      <c r="F47" s="59" t="s">
        <v>32</v>
      </c>
      <c r="G47" s="59" t="s">
        <v>33</v>
      </c>
      <c r="H47" s="60" t="s">
        <v>34</v>
      </c>
      <c r="I47" s="61" t="s">
        <v>35</v>
      </c>
      <c r="J47" s="61" t="s">
        <v>37</v>
      </c>
      <c r="K47" s="61" t="s">
        <v>33</v>
      </c>
    </row>
    <row r="48" spans="1:15" x14ac:dyDescent="0.25">
      <c r="A48" s="50" t="s">
        <v>16</v>
      </c>
      <c r="B48" s="2"/>
      <c r="C48" s="3"/>
      <c r="D48" s="62"/>
      <c r="E48" s="63"/>
      <c r="F48" s="64"/>
      <c r="G48" s="65"/>
      <c r="H48" s="66"/>
      <c r="I48" s="67"/>
      <c r="J48" s="67"/>
      <c r="K48" s="67"/>
    </row>
    <row r="49" spans="1:12" x14ac:dyDescent="0.25">
      <c r="A49" s="50"/>
      <c r="B49" s="57" t="s">
        <v>82</v>
      </c>
      <c r="C49" s="3"/>
      <c r="D49" s="99" t="s">
        <v>79</v>
      </c>
      <c r="E49" s="69">
        <f>$E$39*$F$31*F4</f>
        <v>179659.61480671604</v>
      </c>
      <c r="F49" s="69">
        <f>$E$40*$F$31*F4</f>
        <v>49042420.385193288</v>
      </c>
      <c r="G49" s="70">
        <f t="shared" ref="G49:G80" si="11">SUM(E49:F49)</f>
        <v>49222080.000000007</v>
      </c>
      <c r="H49" s="71" t="str">
        <f>IF(E4=G49,"OK","ERROR")</f>
        <v>OK</v>
      </c>
      <c r="I49" s="67">
        <f t="shared" ref="I49:I63" si="12">(E49*$G$31)*0.798*1.21</f>
        <v>8602.1023569455647</v>
      </c>
      <c r="J49" s="67">
        <f t="shared" ref="J49:J63" si="13">(F49*$H$31)*0.798*1.21</f>
        <v>1761113.3160322912</v>
      </c>
      <c r="K49" s="67">
        <f>I49+J49</f>
        <v>1769715.4183892368</v>
      </c>
      <c r="L49" s="198"/>
    </row>
    <row r="50" spans="1:12" x14ac:dyDescent="0.25">
      <c r="A50" s="50"/>
      <c r="B50" s="57" t="s">
        <v>6</v>
      </c>
      <c r="C50" s="3"/>
      <c r="D50" s="99" t="s">
        <v>79</v>
      </c>
      <c r="E50" s="69">
        <f>$E$39*$F$31*F5</f>
        <v>673566.15013133455</v>
      </c>
      <c r="F50" s="69">
        <f>$E$40*$F$31*F5</f>
        <v>183866108.84986866</v>
      </c>
      <c r="G50" s="70">
        <f t="shared" si="11"/>
        <v>184539675</v>
      </c>
      <c r="H50" s="71" t="str">
        <f>IF(E5=G50,"OK","ERROR")</f>
        <v>OK</v>
      </c>
      <c r="I50" s="67">
        <f t="shared" si="12"/>
        <v>32250.347268288304</v>
      </c>
      <c r="J50" s="67">
        <f t="shared" si="13"/>
        <v>6602631.9687987827</v>
      </c>
      <c r="K50" s="67">
        <f t="shared" ref="K50:K79" si="14">I50+J50</f>
        <v>6634882.3160670707</v>
      </c>
      <c r="L50" s="198"/>
    </row>
    <row r="51" spans="1:12" x14ac:dyDescent="0.25">
      <c r="A51" s="50"/>
      <c r="B51" s="57" t="s">
        <v>7</v>
      </c>
      <c r="C51" s="3"/>
      <c r="D51" s="99" t="s">
        <v>79</v>
      </c>
      <c r="E51" s="69">
        <f>$E$39*$F$31*F6</f>
        <v>336783.07506566728</v>
      </c>
      <c r="F51" s="69">
        <f>$E$40*$F$31*F6</f>
        <v>91933054.424934328</v>
      </c>
      <c r="G51" s="70">
        <f t="shared" si="11"/>
        <v>92269837.5</v>
      </c>
      <c r="H51" s="71" t="str">
        <f>IF(E6=G51,"OK","ERROR")</f>
        <v>OK</v>
      </c>
      <c r="I51" s="67">
        <f t="shared" si="12"/>
        <v>16125.173634144152</v>
      </c>
      <c r="J51" s="67">
        <f t="shared" si="13"/>
        <v>3301315.9843993913</v>
      </c>
      <c r="K51" s="67">
        <f t="shared" si="14"/>
        <v>3317441.1580335354</v>
      </c>
      <c r="L51" s="198"/>
    </row>
    <row r="52" spans="1:12" x14ac:dyDescent="0.25">
      <c r="A52" s="50"/>
      <c r="B52" s="57" t="s">
        <v>8</v>
      </c>
      <c r="C52" s="3"/>
      <c r="D52" s="99" t="s">
        <v>79</v>
      </c>
      <c r="E52" s="69">
        <f>$E$39*$F$31*F7</f>
        <v>740922.76514446805</v>
      </c>
      <c r="F52" s="69">
        <f>$E$40*$F$31*F7</f>
        <v>202252719.73485553</v>
      </c>
      <c r="G52" s="70">
        <f t="shared" si="11"/>
        <v>202993642.5</v>
      </c>
      <c r="H52" s="71" t="str">
        <f>IF(E7=G52,"OK","ERROR")</f>
        <v>OK</v>
      </c>
      <c r="I52" s="67">
        <f t="shared" si="12"/>
        <v>35475.381995117132</v>
      </c>
      <c r="J52" s="67">
        <f t="shared" si="13"/>
        <v>7262895.1656786622</v>
      </c>
      <c r="K52" s="67">
        <f t="shared" si="14"/>
        <v>7298370.5476737795</v>
      </c>
      <c r="L52" s="198"/>
    </row>
    <row r="53" spans="1:12" x14ac:dyDescent="0.25">
      <c r="A53" s="50"/>
      <c r="B53" s="1" t="s">
        <v>164</v>
      </c>
      <c r="C53" s="3"/>
      <c r="D53" s="99" t="s">
        <v>79</v>
      </c>
      <c r="E53" s="69">
        <f>$E$39*$F$31*F9</f>
        <v>740922.76514446805</v>
      </c>
      <c r="F53" s="69">
        <f>$E$40*$F$31*F9</f>
        <v>202252719.73485553</v>
      </c>
      <c r="G53" s="70">
        <f t="shared" ref="G53:G54" si="15">SUM(E53:F53)</f>
        <v>202993642.5</v>
      </c>
      <c r="H53" s="71" t="str">
        <f>IF(E9=G53,"OK","ERROR")</f>
        <v>OK</v>
      </c>
      <c r="I53" s="67">
        <f t="shared" ref="I53:I54" si="16">(E53*$G$31)*0.798*1.21</f>
        <v>35475.381995117132</v>
      </c>
      <c r="J53" s="67">
        <f t="shared" ref="J53:J54" si="17">(F53*$H$31)*0.798*1.21</f>
        <v>7262895.1656786622</v>
      </c>
      <c r="K53" s="67">
        <f t="shared" ref="K53:K54" si="18">I53+J53</f>
        <v>7298370.5476737795</v>
      </c>
      <c r="L53" s="198"/>
    </row>
    <row r="54" spans="1:12" x14ac:dyDescent="0.25">
      <c r="A54" s="50"/>
      <c r="B54" s="1" t="s">
        <v>165</v>
      </c>
      <c r="C54" s="3"/>
      <c r="D54" s="99" t="s">
        <v>79</v>
      </c>
      <c r="E54" s="69">
        <f>$E$39*$F$31*F10</f>
        <v>875635.99517073494</v>
      </c>
      <c r="F54" s="69">
        <f>$E$40*$F$31*F10</f>
        <v>239025941.50482926</v>
      </c>
      <c r="G54" s="70">
        <f t="shared" si="15"/>
        <v>239901577.5</v>
      </c>
      <c r="H54" s="71" t="str">
        <f>IF(E10=G54,"OK","ERROR")</f>
        <v>OK</v>
      </c>
      <c r="I54" s="67">
        <f t="shared" si="16"/>
        <v>41925.451448774795</v>
      </c>
      <c r="J54" s="67">
        <f t="shared" si="17"/>
        <v>8583421.5594384186</v>
      </c>
      <c r="K54" s="67">
        <f t="shared" si="18"/>
        <v>8625347.0108871926</v>
      </c>
      <c r="L54" s="198"/>
    </row>
    <row r="55" spans="1:12" x14ac:dyDescent="0.25">
      <c r="A55" s="50"/>
      <c r="B55" s="57" t="s">
        <v>9</v>
      </c>
      <c r="C55" s="3"/>
      <c r="D55" s="99" t="s">
        <v>79</v>
      </c>
      <c r="E55" s="69">
        <f>$E$39*$F$31*F8</f>
        <v>120723.09337053885</v>
      </c>
      <c r="F55" s="69">
        <f>$E$40*$F$31*F8</f>
        <v>32954276.906629458</v>
      </c>
      <c r="G55" s="70">
        <f>SUM(E55:F55)</f>
        <v>33074999.999999996</v>
      </c>
      <c r="H55" s="71" t="str">
        <f>IF(E8=G55,"OK","ERROR")</f>
        <v>OK</v>
      </c>
      <c r="I55" s="67">
        <f t="shared" si="12"/>
        <v>5780.2217105814007</v>
      </c>
      <c r="J55" s="67">
        <f t="shared" si="13"/>
        <v>1183388.083717064</v>
      </c>
      <c r="K55" s="67">
        <f t="shared" si="14"/>
        <v>1189168.3054276453</v>
      </c>
      <c r="L55" s="198"/>
    </row>
    <row r="56" spans="1:12" x14ac:dyDescent="0.25">
      <c r="A56" s="50"/>
      <c r="B56" s="57"/>
      <c r="C56" s="3"/>
      <c r="D56" s="99"/>
      <c r="E56" s="69"/>
      <c r="F56" s="69"/>
      <c r="G56" s="70"/>
      <c r="H56" s="71"/>
      <c r="I56" s="67"/>
      <c r="J56" s="67"/>
      <c r="K56" s="67"/>
      <c r="L56" s="198"/>
    </row>
    <row r="57" spans="1:12" x14ac:dyDescent="0.25">
      <c r="A57" s="50"/>
      <c r="B57" s="1" t="s">
        <v>42</v>
      </c>
      <c r="C57" s="3"/>
      <c r="D57" s="99" t="s">
        <v>79</v>
      </c>
      <c r="E57" s="69">
        <f t="shared" ref="E57:E63" si="19">$E$39*$F$31*F11</f>
        <v>1682980.9347858869</v>
      </c>
      <c r="F57" s="69">
        <f t="shared" ref="F57:F63" si="20">$E$40*$F$31*F11</f>
        <v>459410194.06521416</v>
      </c>
      <c r="G57" s="70">
        <f t="shared" si="11"/>
        <v>461093175.00000006</v>
      </c>
      <c r="H57" s="71" t="str">
        <f t="shared" ref="H57:H62" si="21">IF(E11=G57,"OK","ERROR")</f>
        <v>OK</v>
      </c>
      <c r="I57" s="67">
        <f t="shared" si="12"/>
        <v>80581.127157548253</v>
      </c>
      <c r="J57" s="67">
        <f t="shared" si="13"/>
        <v>16497420.068881841</v>
      </c>
      <c r="K57" s="67">
        <f t="shared" si="14"/>
        <v>16578001.19603939</v>
      </c>
      <c r="L57" s="198"/>
    </row>
    <row r="58" spans="1:12" x14ac:dyDescent="0.25">
      <c r="A58" s="50"/>
      <c r="B58" s="1" t="s">
        <v>43</v>
      </c>
      <c r="C58" s="3"/>
      <c r="D58" s="99" t="s">
        <v>79</v>
      </c>
      <c r="E58" s="69">
        <f t="shared" si="19"/>
        <v>1675505.9579433112</v>
      </c>
      <c r="F58" s="69">
        <f t="shared" si="20"/>
        <v>457369719.04205668</v>
      </c>
      <c r="G58" s="70">
        <f t="shared" si="11"/>
        <v>459045225</v>
      </c>
      <c r="H58" s="71" t="str">
        <f t="shared" si="21"/>
        <v>OK</v>
      </c>
      <c r="I58" s="67">
        <f t="shared" si="12"/>
        <v>80223.225266325739</v>
      </c>
      <c r="J58" s="67">
        <f t="shared" si="13"/>
        <v>16424146.610800255</v>
      </c>
      <c r="K58" s="67">
        <f t="shared" si="14"/>
        <v>16504369.836066581</v>
      </c>
      <c r="L58" s="198"/>
    </row>
    <row r="59" spans="1:12" x14ac:dyDescent="0.25">
      <c r="A59" s="50"/>
      <c r="B59" s="1" t="s">
        <v>44</v>
      </c>
      <c r="C59" s="3"/>
      <c r="D59" s="99" t="s">
        <v>79</v>
      </c>
      <c r="E59" s="69">
        <f t="shared" si="19"/>
        <v>3371130.7889573122</v>
      </c>
      <c r="F59" s="69">
        <f t="shared" si="20"/>
        <v>920231369.21104264</v>
      </c>
      <c r="G59" s="70">
        <f t="shared" si="11"/>
        <v>923602500</v>
      </c>
      <c r="H59" s="71" t="str">
        <f t="shared" si="21"/>
        <v>OK</v>
      </c>
      <c r="I59" s="67">
        <f t="shared" si="12"/>
        <v>161409.74217527613</v>
      </c>
      <c r="J59" s="67">
        <f t="shared" si="13"/>
        <v>33045508.468368541</v>
      </c>
      <c r="K59" s="67">
        <f t="shared" si="14"/>
        <v>33206918.210543819</v>
      </c>
      <c r="L59" s="198"/>
    </row>
    <row r="60" spans="1:12" x14ac:dyDescent="0.25">
      <c r="A60" s="50"/>
      <c r="B60" s="1" t="s">
        <v>45</v>
      </c>
      <c r="C60" s="3"/>
      <c r="D60" s="99" t="s">
        <v>79</v>
      </c>
      <c r="E60" s="69">
        <f t="shared" si="19"/>
        <v>61001681.400688916</v>
      </c>
      <c r="F60" s="69">
        <f t="shared" si="20"/>
        <v>16651878646.59931</v>
      </c>
      <c r="G60" s="70">
        <f t="shared" si="11"/>
        <v>16712880327.999998</v>
      </c>
      <c r="H60" s="71" t="str">
        <f t="shared" si="21"/>
        <v>OK</v>
      </c>
      <c r="I60" s="67">
        <f t="shared" si="12"/>
        <v>2920760.5054649855</v>
      </c>
      <c r="J60" s="67">
        <f t="shared" si="13"/>
        <v>597968962.19938123</v>
      </c>
      <c r="K60" s="67">
        <f t="shared" si="14"/>
        <v>600889722.70484626</v>
      </c>
      <c r="L60" s="198"/>
    </row>
    <row r="61" spans="1:12" x14ac:dyDescent="0.25">
      <c r="A61" s="50"/>
      <c r="B61" s="1" t="s">
        <v>46</v>
      </c>
      <c r="C61" s="3"/>
      <c r="D61" s="99" t="s">
        <v>79</v>
      </c>
      <c r="E61" s="69">
        <f t="shared" si="19"/>
        <v>4308304.436541317</v>
      </c>
      <c r="F61" s="69">
        <f t="shared" si="20"/>
        <v>1176055495.5634587</v>
      </c>
      <c r="G61" s="70">
        <f>SUM(E61:F61)</f>
        <v>1180363800</v>
      </c>
      <c r="H61" s="71" t="str">
        <f t="shared" si="21"/>
        <v>OK</v>
      </c>
      <c r="I61" s="67">
        <f t="shared" si="12"/>
        <v>206281.61642159827</v>
      </c>
      <c r="J61" s="67">
        <f t="shared" si="13"/>
        <v>42232152.845683798</v>
      </c>
      <c r="K61" s="67">
        <f t="shared" si="14"/>
        <v>42438434.462105393</v>
      </c>
      <c r="L61" s="198"/>
    </row>
    <row r="62" spans="1:12" x14ac:dyDescent="0.25">
      <c r="A62" s="50"/>
      <c r="B62" s="1" t="s">
        <v>10</v>
      </c>
      <c r="C62" s="3"/>
      <c r="D62" s="99" t="s">
        <v>79</v>
      </c>
      <c r="E62" s="69">
        <f t="shared" si="19"/>
        <v>71106.796240383468</v>
      </c>
      <c r="F62" s="69">
        <f t="shared" si="20"/>
        <v>19410313.203759618</v>
      </c>
      <c r="G62" s="70">
        <f>SUM(E62:F62)</f>
        <v>19481420</v>
      </c>
      <c r="H62" s="71" t="str">
        <f t="shared" si="21"/>
        <v>OK</v>
      </c>
      <c r="I62" s="67">
        <f t="shared" si="12"/>
        <v>3404.5934039895606</v>
      </c>
      <c r="J62" s="67">
        <f t="shared" si="13"/>
        <v>697024.34714700794</v>
      </c>
      <c r="K62" s="67">
        <f t="shared" si="14"/>
        <v>700428.9405509975</v>
      </c>
      <c r="L62" s="198"/>
    </row>
    <row r="63" spans="1:12" x14ac:dyDescent="0.25">
      <c r="A63" s="50"/>
      <c r="B63" s="1" t="s">
        <v>196</v>
      </c>
      <c r="C63" s="3"/>
      <c r="D63" s="99" t="s">
        <v>79</v>
      </c>
      <c r="E63" s="69">
        <f t="shared" si="19"/>
        <v>138538.14277204196</v>
      </c>
      <c r="F63" s="69">
        <f t="shared" si="20"/>
        <v>37817323.857227959</v>
      </c>
      <c r="G63" s="70">
        <f>SUM(E63:F63)</f>
        <v>37955862</v>
      </c>
      <c r="H63" s="71"/>
      <c r="I63" s="67">
        <f t="shared" si="12"/>
        <v>6633.2062759253686</v>
      </c>
      <c r="J63" s="67">
        <f t="shared" si="13"/>
        <v>1358020.0997130561</v>
      </c>
      <c r="K63" s="67">
        <f t="shared" si="14"/>
        <v>1364653.3059889814</v>
      </c>
      <c r="L63" s="198">
        <f>SUM(K49:K63)</f>
        <v>747815823.96029377</v>
      </c>
    </row>
    <row r="64" spans="1:12" x14ac:dyDescent="0.25">
      <c r="A64" s="50" t="s">
        <v>183</v>
      </c>
      <c r="B64" s="1"/>
      <c r="C64" s="3"/>
      <c r="D64" s="99"/>
      <c r="E64" s="69"/>
      <c r="F64" s="69"/>
      <c r="G64" s="70"/>
      <c r="H64" s="71"/>
      <c r="I64" s="67"/>
      <c r="J64" s="67"/>
      <c r="K64" s="67"/>
      <c r="L64" s="198"/>
    </row>
    <row r="65" spans="1:12" x14ac:dyDescent="0.25">
      <c r="A65" s="50"/>
      <c r="B65" s="1" t="s">
        <v>166</v>
      </c>
      <c r="C65" s="3"/>
      <c r="D65" s="99" t="s">
        <v>172</v>
      </c>
      <c r="E65" s="69">
        <f>E39*$F$32*F21</f>
        <v>80610.654697593927</v>
      </c>
      <c r="F65" s="69">
        <f t="shared" ref="F65:F71" si="22">E21-E65</f>
        <v>22004620.345302407</v>
      </c>
      <c r="G65" s="70">
        <f>SUM(E65:F65)</f>
        <v>22085231</v>
      </c>
      <c r="H65" s="71"/>
      <c r="I65" s="67">
        <f>(E65*$G$32)*1.21</f>
        <v>8867.1720167353324</v>
      </c>
      <c r="J65" s="67">
        <f>(F65*$H$32)*1.21</f>
        <v>2417757.6604401018</v>
      </c>
      <c r="K65" s="67">
        <f t="shared" si="14"/>
        <v>2426624.8324568369</v>
      </c>
      <c r="L65" s="198"/>
    </row>
    <row r="66" spans="1:12" x14ac:dyDescent="0.25">
      <c r="A66" s="50"/>
      <c r="B66" s="1" t="s">
        <v>197</v>
      </c>
      <c r="C66" s="3"/>
      <c r="D66" s="99" t="s">
        <v>172</v>
      </c>
      <c r="E66" s="69">
        <f>E39*$F$32*F22</f>
        <v>2027.5092220992829</v>
      </c>
      <c r="F66" s="69">
        <f t="shared" si="22"/>
        <v>553457.49077790068</v>
      </c>
      <c r="G66" s="70">
        <f>SUM(E66:F66)</f>
        <v>555485</v>
      </c>
      <c r="H66" s="71"/>
      <c r="I66" s="67">
        <f>(E66*$G$32)*1.21</f>
        <v>223.02601443092112</v>
      </c>
      <c r="J66" s="67">
        <f>(F66*$H$32)*1.21</f>
        <v>60811.141799221841</v>
      </c>
      <c r="K66" s="67">
        <f t="shared" si="14"/>
        <v>61034.167813652763</v>
      </c>
      <c r="L66" s="198"/>
    </row>
    <row r="67" spans="1:12" x14ac:dyDescent="0.25">
      <c r="A67" s="50"/>
      <c r="B67" s="1" t="s">
        <v>167</v>
      </c>
      <c r="C67" s="3"/>
      <c r="D67" s="99" t="s">
        <v>172</v>
      </c>
      <c r="E67" s="69">
        <f>E39*$F$32*F23</f>
        <v>8642.4229926760963</v>
      </c>
      <c r="F67" s="69">
        <f t="shared" si="22"/>
        <v>2359157.577007324</v>
      </c>
      <c r="G67" s="70">
        <f t="shared" ref="G67:G71" si="23">SUM(E67:F67)</f>
        <v>2367800</v>
      </c>
      <c r="H67" s="71"/>
      <c r="I67" s="67">
        <f t="shared" ref="I67:I71" si="24">(E67*$G$32)*1.21</f>
        <v>950.6665291943707</v>
      </c>
      <c r="J67" s="67">
        <f t="shared" ref="J67:J71" si="25">(F67*$H$32)*1.21</f>
        <v>259212.43877367975</v>
      </c>
      <c r="K67" s="67">
        <f t="shared" ref="K67:K71" si="26">I67+J67</f>
        <v>260163.10530287412</v>
      </c>
      <c r="L67" s="198"/>
    </row>
    <row r="68" spans="1:12" x14ac:dyDescent="0.25">
      <c r="A68" s="50"/>
      <c r="B68" s="1" t="s">
        <v>168</v>
      </c>
      <c r="C68" s="3"/>
      <c r="D68" s="99" t="s">
        <v>172</v>
      </c>
      <c r="E68" s="69">
        <f>E39*$F$32*F24</f>
        <v>4321.2114963380482</v>
      </c>
      <c r="F68" s="69">
        <f t="shared" si="22"/>
        <v>1179578.788503662</v>
      </c>
      <c r="G68" s="70">
        <f t="shared" si="23"/>
        <v>1183900</v>
      </c>
      <c r="H68" s="71"/>
      <c r="I68" s="67">
        <f t="shared" si="24"/>
        <v>475.33326459718535</v>
      </c>
      <c r="J68" s="67">
        <f t="shared" si="25"/>
        <v>129606.21938683988</v>
      </c>
      <c r="K68" s="67">
        <f t="shared" si="26"/>
        <v>130081.55265143706</v>
      </c>
      <c r="L68" s="198"/>
    </row>
    <row r="69" spans="1:12" x14ac:dyDescent="0.25">
      <c r="A69" s="50"/>
      <c r="B69" s="1" t="s">
        <v>169</v>
      </c>
      <c r="C69" s="3"/>
      <c r="D69" s="99" t="s">
        <v>172</v>
      </c>
      <c r="E69" s="69">
        <f>E39*$F$32*F25</f>
        <v>9506.6652919437056</v>
      </c>
      <c r="F69" s="69">
        <f t="shared" si="22"/>
        <v>2595073.3347080564</v>
      </c>
      <c r="G69" s="70">
        <f t="shared" si="23"/>
        <v>2604580</v>
      </c>
      <c r="H69" s="71"/>
      <c r="I69" s="67">
        <f t="shared" si="24"/>
        <v>1045.7331821138075</v>
      </c>
      <c r="J69" s="67">
        <f t="shared" si="25"/>
        <v>285133.68265104771</v>
      </c>
      <c r="K69" s="67">
        <f t="shared" si="26"/>
        <v>286179.4158331615</v>
      </c>
      <c r="L69" s="198"/>
    </row>
    <row r="70" spans="1:12" x14ac:dyDescent="0.25">
      <c r="A70" s="50"/>
      <c r="B70" s="1" t="s">
        <v>170</v>
      </c>
      <c r="C70" s="3"/>
      <c r="D70" s="99" t="s">
        <v>172</v>
      </c>
      <c r="E70" s="69">
        <f>E39*$F$32*F26</f>
        <v>9506.6652919437056</v>
      </c>
      <c r="F70" s="69">
        <f t="shared" si="22"/>
        <v>2595073.3347080564</v>
      </c>
      <c r="G70" s="70">
        <f t="shared" si="23"/>
        <v>2604580</v>
      </c>
      <c r="H70" s="71"/>
      <c r="I70" s="67">
        <f t="shared" si="24"/>
        <v>1045.7331821138075</v>
      </c>
      <c r="J70" s="67">
        <f t="shared" si="25"/>
        <v>285133.68265104771</v>
      </c>
      <c r="K70" s="67">
        <f t="shared" si="26"/>
        <v>286179.4158331615</v>
      </c>
      <c r="L70" s="198"/>
    </row>
    <row r="71" spans="1:12" x14ac:dyDescent="0.25">
      <c r="A71" s="50"/>
      <c r="B71" s="1" t="s">
        <v>171</v>
      </c>
      <c r="C71" s="3"/>
      <c r="D71" s="99" t="s">
        <v>172</v>
      </c>
      <c r="E71" s="69">
        <f>E39*$F$32*F27</f>
        <v>11235.149890478926</v>
      </c>
      <c r="F71" s="69">
        <f t="shared" si="22"/>
        <v>3066904.8501095213</v>
      </c>
      <c r="G71" s="70">
        <f t="shared" si="23"/>
        <v>3078140</v>
      </c>
      <c r="H71" s="71"/>
      <c r="I71" s="67">
        <f t="shared" si="24"/>
        <v>1235.8664879526818</v>
      </c>
      <c r="J71" s="67">
        <f t="shared" si="25"/>
        <v>336976.17040578363</v>
      </c>
      <c r="K71" s="67">
        <f t="shared" si="26"/>
        <v>338212.03689373634</v>
      </c>
      <c r="L71" s="198">
        <f>SUM(K65:K71)</f>
        <v>3788474.5267848605</v>
      </c>
    </row>
    <row r="72" spans="1:12" x14ac:dyDescent="0.25">
      <c r="A72" s="72" t="s">
        <v>17</v>
      </c>
      <c r="B72" s="2"/>
      <c r="C72" s="3"/>
      <c r="D72" s="100"/>
      <c r="E72" s="73"/>
      <c r="F72" s="73"/>
      <c r="G72" s="70"/>
      <c r="H72" s="71"/>
      <c r="I72" s="67"/>
      <c r="J72" s="67"/>
      <c r="K72" s="67"/>
      <c r="L72" s="198"/>
    </row>
    <row r="73" spans="1:12" x14ac:dyDescent="0.25">
      <c r="A73" s="72"/>
      <c r="B73" s="57" t="s">
        <v>6</v>
      </c>
      <c r="C73" s="3"/>
      <c r="D73" s="99" t="s">
        <v>80</v>
      </c>
      <c r="E73" s="69">
        <f>$E$39*$F$33*H5</f>
        <v>4364237.0060664006</v>
      </c>
      <c r="F73" s="69">
        <f>+$E$40*$F$33*H5</f>
        <v>1191323637.9939337</v>
      </c>
      <c r="G73" s="70">
        <f t="shared" si="11"/>
        <v>1195687875</v>
      </c>
      <c r="H73" s="71" t="str">
        <f>IF(G5=G73,"OK","ERROR")</f>
        <v>OK</v>
      </c>
      <c r="I73" s="67">
        <f t="shared" ref="I73:I79" si="27">(E73*$G$33)*0.798*1.21</f>
        <v>104479.83392522961</v>
      </c>
      <c r="J73" s="67">
        <f t="shared" ref="J73:J79" si="28">(F73*$H$33)*0.798*1.21</f>
        <v>21390215.920181081</v>
      </c>
      <c r="K73" s="67">
        <f t="shared" si="14"/>
        <v>21494695.754106309</v>
      </c>
      <c r="L73" s="198"/>
    </row>
    <row r="74" spans="1:12" x14ac:dyDescent="0.25">
      <c r="A74" s="72"/>
      <c r="B74" s="57" t="s">
        <v>7</v>
      </c>
      <c r="C74" s="3"/>
      <c r="D74" s="99" t="s">
        <v>80</v>
      </c>
      <c r="E74" s="69">
        <f>$E$39*$F$33*H6</f>
        <v>2182118.5030332003</v>
      </c>
      <c r="F74" s="69">
        <f>+$E$40*$F$33*H6</f>
        <v>595661818.99696684</v>
      </c>
      <c r="G74" s="70">
        <f t="shared" si="11"/>
        <v>597843937.5</v>
      </c>
      <c r="H74" s="71" t="str">
        <f>IF(G6=G74,"OK","ERROR")</f>
        <v>OK</v>
      </c>
      <c r="I74" s="67">
        <f t="shared" si="27"/>
        <v>52239.916962614807</v>
      </c>
      <c r="J74" s="67">
        <f t="shared" si="28"/>
        <v>10695107.96009054</v>
      </c>
      <c r="K74" s="67">
        <f t="shared" si="14"/>
        <v>10747347.877053155</v>
      </c>
      <c r="L74" s="198"/>
    </row>
    <row r="75" spans="1:12" x14ac:dyDescent="0.25">
      <c r="A75" s="72"/>
      <c r="B75" s="57" t="s">
        <v>8</v>
      </c>
      <c r="C75" s="3"/>
      <c r="D75" s="99" t="s">
        <v>80</v>
      </c>
      <c r="E75" s="69">
        <f>$E$39*$F$33*H7</f>
        <v>4800660.706673041</v>
      </c>
      <c r="F75" s="69">
        <f>+$E$40*$F$33*H7</f>
        <v>1310456001.7933271</v>
      </c>
      <c r="G75" s="70">
        <f t="shared" si="11"/>
        <v>1315256662.5000002</v>
      </c>
      <c r="H75" s="71" t="str">
        <f>IF(G7=G75,"OK","ERROR")</f>
        <v>OK</v>
      </c>
      <c r="I75" s="67">
        <f t="shared" si="27"/>
        <v>114927.8173177526</v>
      </c>
      <c r="J75" s="67">
        <f t="shared" si="28"/>
        <v>23529237.51219919</v>
      </c>
      <c r="K75" s="67">
        <f t="shared" si="14"/>
        <v>23644165.329516944</v>
      </c>
      <c r="L75" s="198"/>
    </row>
    <row r="76" spans="1:12" x14ac:dyDescent="0.25">
      <c r="A76" s="72"/>
      <c r="B76" s="1" t="s">
        <v>164</v>
      </c>
      <c r="C76" s="3"/>
      <c r="D76" s="99" t="s">
        <v>80</v>
      </c>
      <c r="E76" s="69">
        <f>$E$39*$F$33*H9</f>
        <v>4800660.706673041</v>
      </c>
      <c r="F76" s="69">
        <f>+$E$40*$F$33*H9</f>
        <v>1310456001.7933271</v>
      </c>
      <c r="G76" s="70">
        <f t="shared" si="11"/>
        <v>1315256662.5000002</v>
      </c>
      <c r="H76" s="71"/>
      <c r="I76" s="67">
        <f t="shared" si="27"/>
        <v>114927.8173177526</v>
      </c>
      <c r="J76" s="67">
        <f t="shared" si="28"/>
        <v>23529237.51219919</v>
      </c>
      <c r="K76" s="67">
        <f t="shared" si="14"/>
        <v>23644165.329516944</v>
      </c>
      <c r="L76" s="198"/>
    </row>
    <row r="77" spans="1:12" x14ac:dyDescent="0.25">
      <c r="A77" s="72"/>
      <c r="B77" s="1" t="s">
        <v>165</v>
      </c>
      <c r="C77" s="3"/>
      <c r="D77" s="99" t="s">
        <v>80</v>
      </c>
      <c r="E77" s="69">
        <f>$E$39*$F$33*H10</f>
        <v>5673508.1078863209</v>
      </c>
      <c r="F77" s="69">
        <f>+$E$40*$F$33*H10</f>
        <v>1548720729.3921137</v>
      </c>
      <c r="G77" s="70">
        <f t="shared" si="11"/>
        <v>1554394237.5</v>
      </c>
      <c r="H77" s="71"/>
      <c r="I77" s="67">
        <f t="shared" si="27"/>
        <v>135823.7841027985</v>
      </c>
      <c r="J77" s="67">
        <f t="shared" si="28"/>
        <v>27807280.696235403</v>
      </c>
      <c r="K77" s="67">
        <f t="shared" si="14"/>
        <v>27943104.480338201</v>
      </c>
      <c r="L77" s="198"/>
    </row>
    <row r="78" spans="1:12" x14ac:dyDescent="0.25">
      <c r="A78" s="72"/>
      <c r="B78" s="57" t="s">
        <v>9</v>
      </c>
      <c r="C78" s="3"/>
      <c r="D78" s="99" t="s">
        <v>80</v>
      </c>
      <c r="E78" s="69">
        <f>$E$39*$F$33*H8</f>
        <v>385943.79079879244</v>
      </c>
      <c r="F78" s="69">
        <f>+$E$40*$F$33*H8</f>
        <v>105352656.20920122</v>
      </c>
      <c r="G78" s="70">
        <f>SUM(E78:F78)</f>
        <v>105738600.00000001</v>
      </c>
      <c r="H78" s="71" t="str">
        <f>IF(G8=G78,"OK","ERROR")</f>
        <v>OK</v>
      </c>
      <c r="I78" s="67">
        <f t="shared" si="27"/>
        <v>9239.4943517230913</v>
      </c>
      <c r="J78" s="67">
        <f t="shared" si="28"/>
        <v>1891606.9422362081</v>
      </c>
      <c r="K78" s="67">
        <f t="shared" si="14"/>
        <v>1900846.4365879311</v>
      </c>
      <c r="L78" s="198"/>
    </row>
    <row r="79" spans="1:12" x14ac:dyDescent="0.25">
      <c r="A79" s="72"/>
      <c r="B79" s="1" t="s">
        <v>46</v>
      </c>
      <c r="C79" s="3"/>
      <c r="D79" s="99" t="s">
        <v>80</v>
      </c>
      <c r="E79" s="69">
        <f>E39*$F$33*H15</f>
        <v>106569.56535351879</v>
      </c>
      <c r="F79" s="69">
        <f>+$E$40*$F$33*H15</f>
        <v>29090730.43464648</v>
      </c>
      <c r="G79" s="70">
        <f t="shared" si="11"/>
        <v>29197300</v>
      </c>
      <c r="H79" s="71" t="str">
        <f>IF(G15=G79,"OK","ERROR")</f>
        <v>OK</v>
      </c>
      <c r="I79" s="67">
        <f t="shared" si="27"/>
        <v>2551.2753945632398</v>
      </c>
      <c r="J79" s="67">
        <f t="shared" si="28"/>
        <v>522324.06495407759</v>
      </c>
      <c r="K79" s="67">
        <f t="shared" si="14"/>
        <v>524875.34034864081</v>
      </c>
      <c r="L79" s="198"/>
    </row>
    <row r="80" spans="1:12" x14ac:dyDescent="0.25">
      <c r="A80" s="72"/>
      <c r="B80" s="1" t="s">
        <v>128</v>
      </c>
      <c r="C80" s="3"/>
      <c r="D80" s="99"/>
      <c r="E80" s="69">
        <f>+E39*F34</f>
        <v>6642989.4178695166</v>
      </c>
      <c r="F80" s="69">
        <f>+E40*F34</f>
        <v>1813364010.5821302</v>
      </c>
      <c r="G80" s="70">
        <f t="shared" si="11"/>
        <v>1820006999.9999998</v>
      </c>
      <c r="H80" s="71"/>
      <c r="I80" s="67"/>
      <c r="J80" s="67"/>
      <c r="K80" s="67"/>
      <c r="L80" s="198"/>
    </row>
    <row r="81" spans="1:12" ht="15.75" thickBot="1" x14ac:dyDescent="0.3">
      <c r="A81" s="72"/>
      <c r="B81" s="2" t="s">
        <v>120</v>
      </c>
      <c r="C81" s="3"/>
      <c r="D81" s="100"/>
      <c r="E81" s="73">
        <f>IFERROR(E80/G80*J34,0)</f>
        <v>1067849.1418220697</v>
      </c>
      <c r="F81" s="104">
        <f>IF(E81=0,0,J34-E81)</f>
        <v>291495150.85817796</v>
      </c>
      <c r="G81" s="70"/>
      <c r="H81" s="71"/>
      <c r="I81" s="67">
        <f>(E81*$G$34)*0.798</f>
        <v>20621.87548721108</v>
      </c>
      <c r="J81" s="67">
        <f>(F81*$H$34)*0.798</f>
        <v>4221928.3164845919</v>
      </c>
      <c r="K81" s="67">
        <f>I81+J81</f>
        <v>4242550.1919718031</v>
      </c>
      <c r="L81" s="198">
        <f>SUM(K73:K81)</f>
        <v>114141750.73943993</v>
      </c>
    </row>
    <row r="82" spans="1:12" ht="15.75" thickBot="1" x14ac:dyDescent="0.3">
      <c r="A82" s="218" t="s">
        <v>47</v>
      </c>
      <c r="B82" s="219"/>
      <c r="C82" s="219"/>
      <c r="D82" s="74"/>
      <c r="E82" s="18">
        <f>SUM(E48:E81)-E80</f>
        <v>99424859.723952591</v>
      </c>
      <c r="F82" s="18">
        <f>SUM(F48:F81)-F80</f>
        <v>27140410896.276047</v>
      </c>
      <c r="G82" s="18">
        <f>SUM(G48:G81)</f>
        <v>28767279756</v>
      </c>
      <c r="H82" s="71"/>
      <c r="I82" s="117">
        <f>SUM(I49:I81)</f>
        <v>4203583.4221114004</v>
      </c>
      <c r="J82" s="117">
        <f>SUM(J49:J81)</f>
        <v>861542465.80440664</v>
      </c>
      <c r="K82" s="116">
        <f>I82+J82</f>
        <v>865746049.22651803</v>
      </c>
      <c r="L82" s="198"/>
    </row>
    <row r="83" spans="1:12" x14ac:dyDescent="0.25">
      <c r="K83" s="101"/>
      <c r="L83" s="198"/>
    </row>
    <row r="84" spans="1:12" x14ac:dyDescent="0.25">
      <c r="K84" s="102"/>
      <c r="L84" s="198"/>
    </row>
    <row r="85" spans="1:12" x14ac:dyDescent="0.25">
      <c r="K85" s="97"/>
    </row>
    <row r="86" spans="1:12" x14ac:dyDescent="0.25">
      <c r="K86" s="102"/>
    </row>
    <row r="88" spans="1:12" x14ac:dyDescent="0.25">
      <c r="G88" s="123">
        <f>J88-H88</f>
        <v>-405997.83342538262</v>
      </c>
      <c r="H88" s="177">
        <v>4040925.91</v>
      </c>
      <c r="I88" s="216" t="s">
        <v>218</v>
      </c>
      <c r="J88" s="165">
        <f>SUM(I49:I63)</f>
        <v>3634928.0765746175</v>
      </c>
    </row>
    <row r="89" spans="1:12" x14ac:dyDescent="0.25">
      <c r="G89" s="123">
        <f t="shared" ref="G89:G94" si="29">J89-H89</f>
        <v>283185885.05371898</v>
      </c>
      <c r="H89" s="177">
        <v>460995010.82999998</v>
      </c>
      <c r="I89" s="216"/>
      <c r="J89" s="165">
        <f>SUM(J49:J63)</f>
        <v>744180895.88371897</v>
      </c>
      <c r="K89" s="123">
        <f>J89+J88</f>
        <v>747815823.96029353</v>
      </c>
    </row>
    <row r="90" spans="1:12" x14ac:dyDescent="0.25">
      <c r="G90" s="123">
        <f t="shared" si="29"/>
        <v>84510.554859645432</v>
      </c>
      <c r="H90" s="177">
        <v>470301.26</v>
      </c>
      <c r="I90" s="216"/>
      <c r="J90" s="165">
        <f>SUM(I73:I81)</f>
        <v>554811.81485964544</v>
      </c>
      <c r="K90" s="101"/>
    </row>
    <row r="91" spans="1:12" x14ac:dyDescent="0.25">
      <c r="G91" s="123">
        <f t="shared" si="29"/>
        <v>59934251.384580277</v>
      </c>
      <c r="H91" s="177">
        <v>53652687.539999999</v>
      </c>
      <c r="I91" s="216"/>
      <c r="J91" s="165">
        <f>SUM(J73:J81)</f>
        <v>113586938.92458028</v>
      </c>
      <c r="K91" s="123">
        <f>J91+J90</f>
        <v>114141750.73943992</v>
      </c>
    </row>
    <row r="92" spans="1:12" x14ac:dyDescent="0.25">
      <c r="G92" s="123">
        <f t="shared" si="29"/>
        <v>-7521.1193228618959</v>
      </c>
      <c r="H92" s="177">
        <v>21364.65</v>
      </c>
      <c r="I92" s="216"/>
      <c r="J92" s="165">
        <f>SUM(I65:I71)</f>
        <v>13843.530677138106</v>
      </c>
      <c r="K92" s="97"/>
    </row>
    <row r="93" spans="1:12" x14ac:dyDescent="0.25">
      <c r="G93" s="123">
        <f t="shared" si="29"/>
        <v>2555975.0961077218</v>
      </c>
      <c r="H93" s="177">
        <v>1218655.8999999999</v>
      </c>
      <c r="I93" s="216"/>
      <c r="J93" s="165">
        <f>SUM(J65:J71)</f>
        <v>3774630.9961077217</v>
      </c>
      <c r="K93" s="123">
        <f>J93+J92</f>
        <v>3788474.5267848596</v>
      </c>
    </row>
    <row r="94" spans="1:12" x14ac:dyDescent="0.25">
      <c r="G94" s="123">
        <f t="shared" si="29"/>
        <v>865738830.13651824</v>
      </c>
      <c r="H94" s="176">
        <v>7219.09</v>
      </c>
      <c r="I94" s="216"/>
      <c r="J94" s="166">
        <f>SUM(J88:J93)</f>
        <v>865746049.22651827</v>
      </c>
      <c r="K94" s="123"/>
    </row>
    <row r="95" spans="1:12" x14ac:dyDescent="0.25">
      <c r="H95" s="195">
        <v>1096838.82</v>
      </c>
    </row>
    <row r="96" spans="1:12" x14ac:dyDescent="0.25">
      <c r="H96" s="195">
        <v>521503004</v>
      </c>
    </row>
  </sheetData>
  <mergeCells count="12">
    <mergeCell ref="I88:I94"/>
    <mergeCell ref="A82:C82"/>
    <mergeCell ref="E1:F1"/>
    <mergeCell ref="G1:H1"/>
    <mergeCell ref="J30:J33"/>
    <mergeCell ref="A35:D35"/>
    <mergeCell ref="A46:D47"/>
    <mergeCell ref="E46:H46"/>
    <mergeCell ref="I46:K46"/>
    <mergeCell ref="J29:L29"/>
    <mergeCell ref="K30:K33"/>
    <mergeCell ref="L30:L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Q15"/>
  <sheetViews>
    <sheetView topLeftCell="C11" workbookViewId="0">
      <selection activeCell="F2" sqref="F2"/>
    </sheetView>
  </sheetViews>
  <sheetFormatPr baseColWidth="10" defaultRowHeight="15" x14ac:dyDescent="0.25"/>
  <cols>
    <col min="6" max="6" width="16.140625" bestFit="1" customWidth="1"/>
    <col min="7" max="7" width="15" bestFit="1" customWidth="1"/>
    <col min="8" max="8" width="16.140625" bestFit="1" customWidth="1"/>
    <col min="10" max="10" width="18" customWidth="1"/>
    <col min="11" max="11" width="17.28515625" customWidth="1"/>
    <col min="12" max="12" width="13.28515625" customWidth="1"/>
    <col min="13" max="13" width="15.7109375" customWidth="1"/>
    <col min="14" max="14" width="12.42578125" bestFit="1" customWidth="1"/>
    <col min="15" max="15" width="13.28515625" bestFit="1" customWidth="1"/>
    <col min="16" max="17" width="12.7109375" bestFit="1" customWidth="1"/>
  </cols>
  <sheetData>
    <row r="1" spans="1:17" ht="39.75" thickBot="1" x14ac:dyDescent="0.3">
      <c r="A1" s="238" t="s">
        <v>59</v>
      </c>
      <c r="B1" s="239"/>
      <c r="C1" s="90" t="e">
        <f>#REF!</f>
        <v>#REF!</v>
      </c>
      <c r="D1" s="6"/>
      <c r="E1" s="5"/>
      <c r="F1" s="7" t="s">
        <v>3</v>
      </c>
      <c r="G1" s="23" t="s">
        <v>4</v>
      </c>
      <c r="H1" s="24" t="s">
        <v>13</v>
      </c>
      <c r="I1" s="24" t="s">
        <v>14</v>
      </c>
    </row>
    <row r="2" spans="1:17" ht="15.75" thickBot="1" x14ac:dyDescent="0.3">
      <c r="A2" s="25" t="s">
        <v>60</v>
      </c>
      <c r="B2" s="26"/>
      <c r="C2" s="26"/>
      <c r="D2" s="27"/>
      <c r="E2" s="26" t="s">
        <v>62</v>
      </c>
      <c r="F2" s="28">
        <f>SUMIF(palermo!A:A,'total palermo'!E2,palermo!D:D)</f>
        <v>403901027</v>
      </c>
      <c r="G2" s="29">
        <f>F2/F3</f>
        <v>1</v>
      </c>
      <c r="H2" s="30">
        <f>2.42%/1.21</f>
        <v>0.02</v>
      </c>
      <c r="I2" s="91">
        <f>IF(F7 &gt; 0,H2-(H2*$E$23),H2)</f>
        <v>0.02</v>
      </c>
      <c r="J2" s="32"/>
      <c r="L2">
        <v>5640321</v>
      </c>
    </row>
    <row r="3" spans="1:17" ht="15.75" thickBot="1" x14ac:dyDescent="0.3">
      <c r="A3" s="218" t="s">
        <v>19</v>
      </c>
      <c r="B3" s="219"/>
      <c r="C3" s="219"/>
      <c r="D3" s="219"/>
      <c r="E3" s="219"/>
      <c r="F3" s="20">
        <f>SUM(F2:F2)</f>
        <v>403901027</v>
      </c>
      <c r="G3" s="41">
        <f>F3/F3</f>
        <v>1</v>
      </c>
      <c r="H3" s="42"/>
      <c r="J3" s="119"/>
      <c r="K3">
        <f>2.42*0.84</f>
        <v>2.0327999999999999</v>
      </c>
      <c r="L3">
        <v>6505234</v>
      </c>
    </row>
    <row r="4" spans="1:17" x14ac:dyDescent="0.25">
      <c r="B4" s="2"/>
      <c r="C4" s="2"/>
      <c r="D4" s="3"/>
      <c r="E4" s="2"/>
      <c r="F4" s="21"/>
      <c r="G4" s="45"/>
      <c r="H4" s="44"/>
      <c r="I4" s="45"/>
      <c r="L4">
        <v>5476622</v>
      </c>
    </row>
    <row r="5" spans="1:17" x14ac:dyDescent="0.25">
      <c r="A5" s="1" t="s">
        <v>55</v>
      </c>
      <c r="B5" s="2"/>
      <c r="C5" s="2"/>
      <c r="D5" s="3"/>
      <c r="E5" s="2"/>
      <c r="F5" s="49">
        <f>+F3</f>
        <v>403901027</v>
      </c>
      <c r="G5" s="45"/>
      <c r="H5" s="54"/>
      <c r="I5" s="54"/>
      <c r="L5">
        <f>SUM(L2:L4)</f>
        <v>17622177</v>
      </c>
    </row>
    <row r="6" spans="1:17" x14ac:dyDescent="0.25">
      <c r="A6" s="50" t="s">
        <v>20</v>
      </c>
      <c r="D6" s="3"/>
      <c r="E6" s="2"/>
      <c r="F6" s="21">
        <f>75000000</f>
        <v>75000000</v>
      </c>
      <c r="G6" s="44"/>
      <c r="H6" s="44"/>
      <c r="I6" s="45"/>
      <c r="L6" s="98">
        <f>L5*K3/100</f>
        <v>358223.61405599996</v>
      </c>
      <c r="M6" s="51"/>
    </row>
    <row r="7" spans="1:17" x14ac:dyDescent="0.25">
      <c r="A7" s="50" t="s">
        <v>21</v>
      </c>
      <c r="D7" s="3"/>
      <c r="E7" s="52">
        <f>IF(F7&gt;0,IF(F7/F6&gt;E9,0.25,F7/F6),I2)</f>
        <v>0.25</v>
      </c>
      <c r="F7" s="21">
        <f>+F3-F6</f>
        <v>328901027</v>
      </c>
      <c r="G7" s="53"/>
      <c r="H7" s="54"/>
      <c r="I7" s="45"/>
      <c r="M7" s="51"/>
    </row>
    <row r="8" spans="1:17" x14ac:dyDescent="0.25">
      <c r="A8" s="50" t="s">
        <v>22</v>
      </c>
      <c r="D8" s="55"/>
      <c r="F8" s="21"/>
      <c r="G8" s="45"/>
      <c r="H8" s="56"/>
      <c r="I8" s="45"/>
      <c r="M8" s="51"/>
    </row>
    <row r="9" spans="1:17" x14ac:dyDescent="0.25">
      <c r="A9" s="50"/>
      <c r="B9" s="57" t="s">
        <v>56</v>
      </c>
      <c r="C9" s="57"/>
      <c r="D9" s="3" t="s">
        <v>57</v>
      </c>
      <c r="E9" s="58">
        <v>0.25</v>
      </c>
      <c r="F9" s="21"/>
      <c r="G9" s="58"/>
      <c r="H9" s="44"/>
      <c r="I9" s="45"/>
      <c r="M9" s="51"/>
    </row>
    <row r="10" spans="1:17" ht="15.75" thickBot="1" x14ac:dyDescent="0.3">
      <c r="A10" s="50"/>
      <c r="D10" s="3"/>
      <c r="E10" s="58"/>
      <c r="F10" s="21"/>
      <c r="G10" s="45"/>
      <c r="H10" s="44"/>
      <c r="I10" s="45"/>
      <c r="M10" s="51"/>
    </row>
    <row r="11" spans="1:17" ht="15.75" thickBot="1" x14ac:dyDescent="0.3">
      <c r="A11" s="225" t="s">
        <v>29</v>
      </c>
      <c r="B11" s="226"/>
      <c r="C11" s="226"/>
      <c r="D11" s="226"/>
      <c r="E11" s="227"/>
      <c r="F11" s="231" t="s">
        <v>3</v>
      </c>
      <c r="G11" s="232"/>
      <c r="H11" s="232"/>
      <c r="I11" s="233"/>
      <c r="J11" s="234" t="s">
        <v>30</v>
      </c>
      <c r="K11" s="234"/>
      <c r="L11" s="234"/>
      <c r="M11" s="234"/>
      <c r="N11" s="234"/>
      <c r="O11" s="234"/>
      <c r="P11" s="234"/>
      <c r="Q11" s="234"/>
    </row>
    <row r="12" spans="1:17" ht="64.5" thickBot="1" x14ac:dyDescent="0.3">
      <c r="A12" s="228"/>
      <c r="B12" s="229"/>
      <c r="C12" s="229"/>
      <c r="D12" s="229"/>
      <c r="E12" s="230"/>
      <c r="F12" s="23" t="s">
        <v>31</v>
      </c>
      <c r="G12" s="59" t="s">
        <v>32</v>
      </c>
      <c r="H12" s="59" t="s">
        <v>33</v>
      </c>
      <c r="I12" s="60" t="s">
        <v>34</v>
      </c>
      <c r="J12" s="61" t="s">
        <v>35</v>
      </c>
      <c r="K12" s="61" t="s">
        <v>36</v>
      </c>
      <c r="L12" s="61" t="s">
        <v>37</v>
      </c>
      <c r="M12" s="61" t="s">
        <v>38</v>
      </c>
      <c r="N12" s="61" t="s">
        <v>39</v>
      </c>
      <c r="O12" s="61" t="s">
        <v>40</v>
      </c>
      <c r="P12" s="61" t="s">
        <v>41</v>
      </c>
      <c r="Q12" s="61" t="s">
        <v>33</v>
      </c>
    </row>
    <row r="13" spans="1:17" x14ac:dyDescent="0.25">
      <c r="A13" s="50" t="s">
        <v>52</v>
      </c>
      <c r="B13" s="2"/>
      <c r="C13" s="2"/>
      <c r="D13" s="3"/>
      <c r="E13" s="62"/>
      <c r="F13" s="63"/>
      <c r="G13" s="64"/>
      <c r="H13" s="65"/>
      <c r="I13" s="66"/>
      <c r="J13" s="67"/>
      <c r="K13" s="67"/>
      <c r="L13" s="67"/>
      <c r="M13" s="68"/>
      <c r="N13" s="67"/>
      <c r="O13" s="67"/>
      <c r="P13" s="67"/>
      <c r="Q13" s="67"/>
    </row>
    <row r="14" spans="1:17" ht="15.75" thickBot="1" x14ac:dyDescent="0.3">
      <c r="A14" s="50"/>
      <c r="B14" s="1" t="s">
        <v>61</v>
      </c>
      <c r="C14" s="1"/>
      <c r="D14" s="3"/>
      <c r="E14" s="62"/>
      <c r="F14" s="69">
        <f>IF(F7&gt;0,$F$7*$G$2,F2)</f>
        <v>328901027</v>
      </c>
      <c r="G14" s="69">
        <f>F6</f>
        <v>75000000</v>
      </c>
      <c r="H14" s="70">
        <f>SUM(F14:G14)</f>
        <v>403901027</v>
      </c>
      <c r="I14" s="71" t="str">
        <f>IF(F3=H14,"OK","ERROR")</f>
        <v>OK</v>
      </c>
      <c r="J14" s="67">
        <f>F14*$H$2</f>
        <v>6578020.54</v>
      </c>
      <c r="K14" s="67">
        <f>-J14*0.16</f>
        <v>-1052483.2864000001</v>
      </c>
      <c r="L14" s="67">
        <f>G14*$I$18</f>
        <v>0</v>
      </c>
      <c r="M14" s="67">
        <f>-L14*0.16</f>
        <v>0</v>
      </c>
      <c r="N14" s="67">
        <f>+J14+L14</f>
        <v>6578020.54</v>
      </c>
      <c r="O14" s="67">
        <f>K14+M14</f>
        <v>-1052483.2864000001</v>
      </c>
      <c r="P14" s="67">
        <f>(N14+O14)*0.21</f>
        <v>1160362.8232559999</v>
      </c>
      <c r="Q14" s="67">
        <f>N14+O14+P14</f>
        <v>6685900.0768559994</v>
      </c>
    </row>
    <row r="15" spans="1:17" ht="16.5" thickTop="1" thickBot="1" x14ac:dyDescent="0.3">
      <c r="A15" s="218" t="s">
        <v>47</v>
      </c>
      <c r="B15" s="219"/>
      <c r="C15" s="219"/>
      <c r="D15" s="219"/>
      <c r="E15" s="74"/>
      <c r="F15" s="18">
        <f>SUM(F13:F14)</f>
        <v>328901027</v>
      </c>
      <c r="G15" s="18">
        <f>SUM(G13:G14)</f>
        <v>75000000</v>
      </c>
      <c r="H15" s="18">
        <f>SUM(H13:H14)</f>
        <v>403901027</v>
      </c>
      <c r="I15" s="71"/>
      <c r="J15" s="88">
        <f t="shared" ref="J15:Q15" si="0">SUM(J14:J14)</f>
        <v>6578020.54</v>
      </c>
      <c r="K15" s="88">
        <f t="shared" si="0"/>
        <v>-1052483.2864000001</v>
      </c>
      <c r="L15" s="88">
        <f t="shared" si="0"/>
        <v>0</v>
      </c>
      <c r="M15" s="88">
        <f t="shared" si="0"/>
        <v>0</v>
      </c>
      <c r="N15" s="89">
        <f t="shared" si="0"/>
        <v>6578020.54</v>
      </c>
      <c r="O15" s="89">
        <f t="shared" si="0"/>
        <v>-1052483.2864000001</v>
      </c>
      <c r="P15" s="89">
        <f t="shared" si="0"/>
        <v>1160362.8232559999</v>
      </c>
      <c r="Q15" s="89">
        <f t="shared" si="0"/>
        <v>6685900.0768559994</v>
      </c>
    </row>
  </sheetData>
  <mergeCells count="6">
    <mergeCell ref="J11:Q11"/>
    <mergeCell ref="A15:D15"/>
    <mergeCell ref="A1:B1"/>
    <mergeCell ref="A3:E3"/>
    <mergeCell ref="A11:E12"/>
    <mergeCell ref="F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W29"/>
  <sheetViews>
    <sheetView topLeftCell="E12" zoomScale="90" zoomScaleNormal="90" workbookViewId="0">
      <selection activeCell="R23" sqref="R23"/>
    </sheetView>
  </sheetViews>
  <sheetFormatPr baseColWidth="10" defaultRowHeight="15" x14ac:dyDescent="0.25"/>
  <cols>
    <col min="3" max="3" width="14.42578125" customWidth="1"/>
    <col min="4" max="4" width="12.28515625" customWidth="1"/>
    <col min="5" max="5" width="17.7109375" bestFit="1" customWidth="1"/>
    <col min="6" max="7" width="18.85546875" bestFit="1" customWidth="1"/>
    <col min="8" max="8" width="15.7109375" customWidth="1"/>
    <col min="9" max="9" width="16.42578125" customWidth="1"/>
    <col min="10" max="10" width="16.7109375" customWidth="1"/>
    <col min="11" max="11" width="16.28515625" customWidth="1"/>
    <col min="12" max="12" width="18.42578125" customWidth="1"/>
    <col min="13" max="13" width="14.7109375" bestFit="1" customWidth="1"/>
    <col min="14" max="16" width="15" customWidth="1"/>
    <col min="17" max="17" width="13.5703125" bestFit="1" customWidth="1"/>
    <col min="18" max="18" width="15.28515625" bestFit="1" customWidth="1"/>
    <col min="19" max="19" width="14" bestFit="1" customWidth="1"/>
    <col min="20" max="20" width="15.28515625" bestFit="1" customWidth="1"/>
    <col min="22" max="22" width="19.28515625" bestFit="1" customWidth="1"/>
    <col min="23" max="23" width="14.7109375" bestFit="1" customWidth="1"/>
  </cols>
  <sheetData>
    <row r="1" spans="1:18" ht="26.25" thickBot="1" x14ac:dyDescent="0.3">
      <c r="A1" s="238" t="s">
        <v>51</v>
      </c>
      <c r="B1" s="239"/>
      <c r="C1" s="1" t="s">
        <v>58</v>
      </c>
      <c r="D1" s="75"/>
      <c r="E1" s="76" t="s">
        <v>3</v>
      </c>
      <c r="F1" s="77" t="s">
        <v>4</v>
      </c>
      <c r="G1" s="78" t="s">
        <v>13</v>
      </c>
      <c r="H1" s="78" t="s">
        <v>14</v>
      </c>
    </row>
    <row r="2" spans="1:18" ht="15.75" thickBot="1" x14ac:dyDescent="0.3">
      <c r="A2" s="79" t="s">
        <v>52</v>
      </c>
      <c r="B2" s="80"/>
      <c r="C2" s="80"/>
      <c r="D2" s="10" t="s">
        <v>53</v>
      </c>
      <c r="E2" s="81">
        <f>SUMIF('la plata y san isidro'!A:A,'total La plata y san isidro'!D2,'la plata y san isidro'!D:D)</f>
        <v>518690515</v>
      </c>
      <c r="F2" s="29">
        <f>$E$2/E5</f>
        <v>0.39946476180271606</v>
      </c>
      <c r="G2" s="82">
        <f>2.42%/1.21</f>
        <v>0.02</v>
      </c>
      <c r="H2" s="31">
        <f>IF(F10 &gt; 0,G2-(G2*$E$10),G2)</f>
        <v>1.4999999999999999E-2</v>
      </c>
      <c r="J2" s="32"/>
    </row>
    <row r="3" spans="1:18" ht="15.75" thickBot="1" x14ac:dyDescent="0.3">
      <c r="A3" s="83" t="s">
        <v>52</v>
      </c>
      <c r="B3" s="84"/>
      <c r="C3" s="84"/>
      <c r="D3" s="17" t="s">
        <v>54</v>
      </c>
      <c r="E3" s="81">
        <f>SUMIF('la plata y san isidro'!A:A,'total La plata y san isidro'!D3,'la plata y san isidro'!D:D)</f>
        <v>375872214</v>
      </c>
      <c r="F3" s="29">
        <f>$E$3/E5</f>
        <v>0.28947455195661231</v>
      </c>
      <c r="G3" s="85">
        <f>2.42%/1.21</f>
        <v>0.02</v>
      </c>
      <c r="H3" s="39">
        <f>IF(F10 &gt; 0,G3-(G3*$E$10),G3)</f>
        <v>1.4999999999999999E-2</v>
      </c>
      <c r="J3" s="32"/>
    </row>
    <row r="4" spans="1:18" ht="15.75" thickBot="1" x14ac:dyDescent="0.3">
      <c r="A4" s="79" t="s">
        <v>52</v>
      </c>
      <c r="B4" s="84"/>
      <c r="C4" s="84"/>
      <c r="D4" s="17" t="s">
        <v>62</v>
      </c>
      <c r="E4" s="81">
        <f>+'total palermo'!F2</f>
        <v>403901027</v>
      </c>
      <c r="F4" s="29">
        <f>$E$4/E5</f>
        <v>0.31106068624067162</v>
      </c>
      <c r="G4" s="30">
        <f>2.42%/1.21</f>
        <v>0.02</v>
      </c>
      <c r="H4" s="39">
        <f>IF(F10 &gt; 0,G4-(G4*$E$10),G4)</f>
        <v>1.4999999999999999E-2</v>
      </c>
      <c r="J4" s="32"/>
    </row>
    <row r="5" spans="1:18" ht="15.75" thickBot="1" x14ac:dyDescent="0.3">
      <c r="A5" s="218" t="s">
        <v>19</v>
      </c>
      <c r="B5" s="219"/>
      <c r="C5" s="219"/>
      <c r="D5" s="240"/>
      <c r="E5" s="20">
        <f>SUM(E2:E4)</f>
        <v>1298463756</v>
      </c>
      <c r="F5" s="41">
        <f>E5/E5</f>
        <v>1</v>
      </c>
      <c r="G5" s="42"/>
    </row>
    <row r="6" spans="1:18" x14ac:dyDescent="0.25">
      <c r="A6" s="46"/>
      <c r="B6" s="2"/>
      <c r="C6" s="2"/>
      <c r="D6" s="3"/>
      <c r="E6" s="2"/>
      <c r="F6" s="21"/>
      <c r="G6" s="45"/>
      <c r="H6" s="44"/>
      <c r="I6" s="45"/>
    </row>
    <row r="7" spans="1:18" x14ac:dyDescent="0.25">
      <c r="A7" s="1" t="s">
        <v>55</v>
      </c>
      <c r="B7" s="2"/>
      <c r="C7" s="2"/>
      <c r="D7" s="3"/>
      <c r="E7" s="2"/>
      <c r="F7" s="49"/>
      <c r="G7" s="47"/>
      <c r="H7" s="54"/>
      <c r="I7" s="54"/>
    </row>
    <row r="8" spans="1:18" x14ac:dyDescent="0.25">
      <c r="A8" s="50" t="s">
        <v>127</v>
      </c>
      <c r="B8" s="2"/>
      <c r="C8" s="2"/>
      <c r="D8" s="3"/>
      <c r="E8" s="2"/>
      <c r="F8" s="49">
        <f>E5</f>
        <v>1298463756</v>
      </c>
      <c r="G8" s="45"/>
      <c r="H8" s="54"/>
      <c r="I8" s="54"/>
    </row>
    <row r="9" spans="1:18" x14ac:dyDescent="0.25">
      <c r="A9" s="50" t="s">
        <v>20</v>
      </c>
      <c r="D9" s="3"/>
      <c r="E9" s="2"/>
      <c r="F9" s="21">
        <v>75000000</v>
      </c>
      <c r="G9" s="44"/>
      <c r="H9" s="44"/>
      <c r="I9" s="45"/>
      <c r="M9" s="51"/>
    </row>
    <row r="10" spans="1:18" x14ac:dyDescent="0.25">
      <c r="A10" s="50" t="s">
        <v>21</v>
      </c>
      <c r="D10" s="3"/>
      <c r="E10" s="52">
        <f>IF(F10&gt;0,IF(F10/F9&gt;E12,0.25,F10/F9),H2)</f>
        <v>0.25</v>
      </c>
      <c r="F10" s="21">
        <f>+E5-F9</f>
        <v>1223463756</v>
      </c>
      <c r="G10" s="53"/>
      <c r="H10" s="54"/>
      <c r="I10" s="45"/>
      <c r="M10" s="51"/>
    </row>
    <row r="11" spans="1:18" x14ac:dyDescent="0.25">
      <c r="A11" s="50" t="s">
        <v>22</v>
      </c>
      <c r="D11" s="55"/>
      <c r="F11" s="21"/>
      <c r="G11" s="45"/>
      <c r="H11" s="56"/>
      <c r="I11" s="45"/>
      <c r="M11" s="51"/>
    </row>
    <row r="12" spans="1:18" x14ac:dyDescent="0.25">
      <c r="A12" s="50"/>
      <c r="B12" s="57" t="s">
        <v>56</v>
      </c>
      <c r="C12" s="57"/>
      <c r="D12" s="3" t="s">
        <v>57</v>
      </c>
      <c r="E12" s="58">
        <v>0.25</v>
      </c>
      <c r="F12" s="21"/>
      <c r="G12" s="58"/>
      <c r="H12" s="44"/>
      <c r="I12" s="45"/>
      <c r="M12" s="51"/>
    </row>
    <row r="13" spans="1:18" ht="15.75" thickBot="1" x14ac:dyDescent="0.3">
      <c r="A13" s="50"/>
      <c r="D13" s="3"/>
      <c r="E13" s="58"/>
      <c r="F13" s="21"/>
      <c r="G13" s="45"/>
      <c r="H13" s="44"/>
      <c r="I13" s="45"/>
      <c r="M13" s="51"/>
    </row>
    <row r="14" spans="1:18" ht="15.75" customHeight="1" thickBot="1" x14ac:dyDescent="0.3">
      <c r="A14" s="241" t="s">
        <v>29</v>
      </c>
      <c r="B14" s="242"/>
      <c r="C14" s="242"/>
      <c r="D14" s="243"/>
      <c r="E14" s="247" t="s">
        <v>3</v>
      </c>
      <c r="F14" s="248"/>
      <c r="G14" s="248"/>
      <c r="H14" s="249"/>
      <c r="I14" s="234" t="s">
        <v>30</v>
      </c>
      <c r="J14" s="234"/>
      <c r="K14" s="234"/>
      <c r="L14" s="234"/>
      <c r="M14" s="234"/>
      <c r="N14" s="234"/>
      <c r="O14" s="234"/>
      <c r="P14" s="234"/>
      <c r="Q14" s="234"/>
      <c r="R14" s="234"/>
    </row>
    <row r="15" spans="1:18" ht="51.75" thickBot="1" x14ac:dyDescent="0.3">
      <c r="A15" s="244"/>
      <c r="B15" s="245"/>
      <c r="C15" s="245"/>
      <c r="D15" s="246"/>
      <c r="E15" s="77" t="s">
        <v>31</v>
      </c>
      <c r="F15" s="86" t="s">
        <v>32</v>
      </c>
      <c r="G15" s="86" t="s">
        <v>33</v>
      </c>
      <c r="H15" s="87" t="s">
        <v>34</v>
      </c>
      <c r="I15" s="61" t="s">
        <v>35</v>
      </c>
      <c r="J15" s="61" t="s">
        <v>36</v>
      </c>
      <c r="K15" s="61" t="s">
        <v>37</v>
      </c>
      <c r="L15" s="61" t="s">
        <v>38</v>
      </c>
      <c r="M15" s="61" t="s">
        <v>39</v>
      </c>
      <c r="N15" s="61" t="s">
        <v>40</v>
      </c>
      <c r="O15" s="61" t="s">
        <v>129</v>
      </c>
      <c r="P15" s="122">
        <v>0.05</v>
      </c>
      <c r="Q15" s="61" t="s">
        <v>41</v>
      </c>
      <c r="R15" s="61" t="s">
        <v>33</v>
      </c>
    </row>
    <row r="16" spans="1:18" x14ac:dyDescent="0.25">
      <c r="A16" s="50" t="s">
        <v>52</v>
      </c>
      <c r="B16" s="2"/>
      <c r="C16" s="2"/>
      <c r="D16" s="3"/>
      <c r="E16" s="63"/>
      <c r="F16" s="64"/>
      <c r="G16" s="65"/>
      <c r="H16" s="66"/>
      <c r="I16" s="67"/>
      <c r="J16" s="67"/>
      <c r="K16" s="67"/>
      <c r="L16" s="68"/>
      <c r="M16" s="67"/>
      <c r="N16" s="67"/>
      <c r="O16" s="67"/>
      <c r="P16" s="67"/>
      <c r="Q16" s="67"/>
      <c r="R16" s="67"/>
    </row>
    <row r="17" spans="1:23" x14ac:dyDescent="0.25">
      <c r="A17" s="50"/>
      <c r="B17" s="2"/>
      <c r="C17" s="2"/>
      <c r="D17" s="3" t="s">
        <v>62</v>
      </c>
      <c r="E17" s="69">
        <f>IF($F$10&gt;0,($F$8-$F$10)*$F4,E4)</f>
        <v>23329551.468050372</v>
      </c>
      <c r="F17" s="69">
        <f>IF(F10&gt;0,$F$10*$F$4,0)</f>
        <v>380571475.53194964</v>
      </c>
      <c r="G17" s="70">
        <f>SUM(E17:F17)</f>
        <v>403901027</v>
      </c>
      <c r="H17" s="45"/>
      <c r="I17" s="67">
        <f>E17*$G$2</f>
        <v>466591.02936100744</v>
      </c>
      <c r="J17" s="67">
        <f>-I17*0.16</f>
        <v>-74654.56469776119</v>
      </c>
      <c r="K17" s="67">
        <f>F17*$H$4</f>
        <v>5708572.132979244</v>
      </c>
      <c r="L17" s="67">
        <f>-K17*0.16</f>
        <v>-913371.54127667903</v>
      </c>
      <c r="M17" s="67">
        <f>+I17+K17</f>
        <v>6175163.1623402517</v>
      </c>
      <c r="N17" s="67">
        <f>J17+L17</f>
        <v>-988026.10597444023</v>
      </c>
      <c r="O17" s="67">
        <f>+M17+N17</f>
        <v>5187137.0563658113</v>
      </c>
      <c r="P17" s="67">
        <f>-O17*0.05</f>
        <v>-259356.85281829059</v>
      </c>
      <c r="Q17" s="67">
        <f>(M17+N17+P17)*0.21</f>
        <v>1034833.8427449793</v>
      </c>
      <c r="R17" s="67">
        <f>M17+N17+Q17+P17</f>
        <v>5962614.0462924996</v>
      </c>
    </row>
    <row r="18" spans="1:23" x14ac:dyDescent="0.25">
      <c r="A18" s="50"/>
      <c r="B18" s="1" t="s">
        <v>56</v>
      </c>
      <c r="C18" s="1"/>
      <c r="D18" s="3" t="s">
        <v>53</v>
      </c>
      <c r="E18" s="69">
        <f>IF($F$10&gt;0,($F$8-$F$10)*$F2,E2)</f>
        <v>29959857.135203704</v>
      </c>
      <c r="F18" s="69">
        <f>IF(F10&gt;0,$F$10*$F$2,0)</f>
        <v>488730657.86479634</v>
      </c>
      <c r="G18" s="70">
        <f>SUM(E18:F18)</f>
        <v>518690515.00000006</v>
      </c>
      <c r="H18" s="71" t="str">
        <f>IF(E2=G18,"OK","ERROR")</f>
        <v>OK</v>
      </c>
      <c r="I18" s="67">
        <f>E18*$G$2</f>
        <v>599197.14270407415</v>
      </c>
      <c r="J18" s="67">
        <f t="shared" ref="J18:J19" si="0">-I18*0.16</f>
        <v>-95871.542832651859</v>
      </c>
      <c r="K18" s="67">
        <f>F18*$H$3</f>
        <v>7330959.8679719446</v>
      </c>
      <c r="L18" s="67">
        <f t="shared" ref="L18:L19" si="1">-K18*0.16</f>
        <v>-1172953.5788755112</v>
      </c>
      <c r="M18" s="67">
        <f>+I18+K18</f>
        <v>7930157.0106760189</v>
      </c>
      <c r="N18" s="67">
        <f>J18+L18</f>
        <v>-1268825.1217081631</v>
      </c>
      <c r="O18" s="67">
        <f t="shared" ref="O18:O19" si="2">+M18+N18</f>
        <v>6661331.8889678558</v>
      </c>
      <c r="P18" s="67">
        <f t="shared" ref="P18:P19" si="3">-O18*0.05</f>
        <v>-333066.5944483928</v>
      </c>
      <c r="Q18" s="67">
        <f t="shared" ref="Q18:Q19" si="4">(M18+N18+P18)*0.21</f>
        <v>1328935.7118490872</v>
      </c>
      <c r="R18" s="67">
        <f t="shared" ref="R18:R19" si="5">M18+N18+Q18+P18</f>
        <v>7657201.0063685495</v>
      </c>
    </row>
    <row r="19" spans="1:23" ht="15.75" thickBot="1" x14ac:dyDescent="0.3">
      <c r="A19" s="50"/>
      <c r="B19" s="1"/>
      <c r="C19" s="1"/>
      <c r="D19" s="3" t="s">
        <v>54</v>
      </c>
      <c r="E19" s="69">
        <f>IF($F$10&gt;0,($F$8-$F$10)*$F3,E3)</f>
        <v>21710591.396745924</v>
      </c>
      <c r="F19" s="69">
        <f>IF(F10&gt;0,$F$10*$F$3,0)</f>
        <v>354161622.60325408</v>
      </c>
      <c r="G19" s="70">
        <f>SUM(E19:F19)</f>
        <v>375872214</v>
      </c>
      <c r="H19" s="71" t="str">
        <f>IF(E3=G19,"OK","ERROR")</f>
        <v>OK</v>
      </c>
      <c r="I19" s="67">
        <f>E19*$G$3</f>
        <v>434211.82793491846</v>
      </c>
      <c r="J19" s="67">
        <f t="shared" si="0"/>
        <v>-69473.89246958695</v>
      </c>
      <c r="K19" s="67">
        <f>F19*$H$3</f>
        <v>5312424.3390488112</v>
      </c>
      <c r="L19" s="67">
        <f t="shared" si="1"/>
        <v>-849987.89424780977</v>
      </c>
      <c r="M19" s="67">
        <f>+I19+K19</f>
        <v>5746636.1669837292</v>
      </c>
      <c r="N19" s="67">
        <f>J19+L19</f>
        <v>-919461.7867173967</v>
      </c>
      <c r="O19" s="67">
        <f t="shared" si="2"/>
        <v>4827174.380266333</v>
      </c>
      <c r="P19" s="67">
        <f t="shared" si="3"/>
        <v>-241358.71901331667</v>
      </c>
      <c r="Q19" s="67">
        <f t="shared" si="4"/>
        <v>963021.28886313341</v>
      </c>
      <c r="R19" s="67">
        <f t="shared" si="5"/>
        <v>5548836.9501161501</v>
      </c>
    </row>
    <row r="20" spans="1:23" ht="16.5" thickTop="1" thickBot="1" x14ac:dyDescent="0.3">
      <c r="A20" s="218" t="s">
        <v>47</v>
      </c>
      <c r="B20" s="219"/>
      <c r="C20" s="219"/>
      <c r="D20" s="219"/>
      <c r="E20" s="18">
        <f>SUM(E17:E19)</f>
        <v>75000000</v>
      </c>
      <c r="F20" s="18">
        <f>SUM(F17:F19)</f>
        <v>1223463756</v>
      </c>
      <c r="G20" s="18">
        <f>SUM(G17:G19)</f>
        <v>1298463756</v>
      </c>
      <c r="H20" s="71"/>
      <c r="I20" s="88">
        <f>SUM(I17:I19)</f>
        <v>1500000</v>
      </c>
      <c r="J20" s="88">
        <f>SUM(J18:J19)</f>
        <v>-165345.43530223879</v>
      </c>
      <c r="K20" s="88">
        <f t="shared" ref="K20:R20" si="6">SUM(K17:K19)</f>
        <v>18351956.34</v>
      </c>
      <c r="L20" s="88">
        <f t="shared" si="6"/>
        <v>-2936313.0144000002</v>
      </c>
      <c r="M20" s="89">
        <f t="shared" si="6"/>
        <v>19851956.34</v>
      </c>
      <c r="N20" s="89">
        <f t="shared" si="6"/>
        <v>-3176313.0144000002</v>
      </c>
      <c r="O20" s="67"/>
      <c r="P20" s="121"/>
      <c r="Q20" s="89">
        <f t="shared" si="6"/>
        <v>3326790.8434571996</v>
      </c>
      <c r="R20" s="89">
        <f t="shared" si="6"/>
        <v>19168652.0027772</v>
      </c>
    </row>
    <row r="22" spans="1:23" x14ac:dyDescent="0.25">
      <c r="V22" t="s">
        <v>217</v>
      </c>
    </row>
    <row r="23" spans="1:23" x14ac:dyDescent="0.25">
      <c r="N23" t="s">
        <v>130</v>
      </c>
      <c r="O23" s="123">
        <f>+I17+J17</f>
        <v>391936.46466324624</v>
      </c>
      <c r="P23" s="67">
        <f>-O23*0.05</f>
        <v>-19596.823233162311</v>
      </c>
      <c r="Q23" s="67">
        <f>(O23+P23)*0.21</f>
        <v>78191.324700317622</v>
      </c>
      <c r="R23" s="123">
        <f>+O23+P23+Q23</f>
        <v>450530.96613040159</v>
      </c>
      <c r="V23" s="172">
        <v>493416.92051341728</v>
      </c>
      <c r="W23" s="123">
        <f t="shared" ref="W23:W28" si="7">R23-V23</f>
        <v>-42885.954383015691</v>
      </c>
    </row>
    <row r="24" spans="1:23" x14ac:dyDescent="0.25">
      <c r="G24" s="102"/>
      <c r="N24" t="s">
        <v>131</v>
      </c>
      <c r="O24" s="123">
        <f>+K17+L17</f>
        <v>4795200.5917025646</v>
      </c>
      <c r="P24" s="67">
        <f>-O24*0.05</f>
        <v>-239760.02958512824</v>
      </c>
      <c r="Q24" s="67">
        <f>(O24+P24)*0.21</f>
        <v>956642.5180446615</v>
      </c>
      <c r="R24" s="123">
        <f>+O24+P24+Q24</f>
        <v>5512083.0801620977</v>
      </c>
      <c r="S24" s="123">
        <f>R24+R23</f>
        <v>5962614.0462924996</v>
      </c>
      <c r="V24" s="172">
        <v>6284936.7385312365</v>
      </c>
      <c r="W24" s="123">
        <f t="shared" si="7"/>
        <v>-772853.65836913884</v>
      </c>
    </row>
    <row r="25" spans="1:23" x14ac:dyDescent="0.25">
      <c r="G25" s="119"/>
      <c r="N25" t="s">
        <v>132</v>
      </c>
      <c r="O25" s="123">
        <f>+I18+J18</f>
        <v>503325.59987142228</v>
      </c>
      <c r="P25" s="67">
        <f t="shared" ref="P25:P28" si="8">-O25*0.05</f>
        <v>-25166.279993571115</v>
      </c>
      <c r="Q25" s="67">
        <f t="shared" ref="Q25:Q26" si="9">(O25+P25)*0.21</f>
        <v>100413.45717434875</v>
      </c>
      <c r="R25" s="123">
        <f>+O25+P25+Q25</f>
        <v>578572.77705219993</v>
      </c>
      <c r="V25" s="178">
        <v>582537.58653071069</v>
      </c>
      <c r="W25" s="123">
        <f t="shared" si="7"/>
        <v>-3964.8094785107533</v>
      </c>
    </row>
    <row r="26" spans="1:23" x14ac:dyDescent="0.25">
      <c r="N26" t="s">
        <v>133</v>
      </c>
      <c r="O26" s="123">
        <f>+K18+L18</f>
        <v>6158006.2890964337</v>
      </c>
      <c r="P26" s="67">
        <f t="shared" si="8"/>
        <v>-307900.3144548217</v>
      </c>
      <c r="Q26" s="67">
        <f t="shared" si="9"/>
        <v>1228522.2546747385</v>
      </c>
      <c r="R26" s="123">
        <f t="shared" ref="R26" si="10">+O26+P26+Q26</f>
        <v>7078628.2293163501</v>
      </c>
      <c r="S26" s="123">
        <f>R26+R25</f>
        <v>7657201.0063685495</v>
      </c>
      <c r="V26" s="178">
        <v>7420118.2143339673</v>
      </c>
      <c r="W26" s="123">
        <f t="shared" si="7"/>
        <v>-341489.98501761723</v>
      </c>
    </row>
    <row r="27" spans="1:23" x14ac:dyDescent="0.25">
      <c r="N27" t="s">
        <v>134</v>
      </c>
      <c r="O27" s="123">
        <f>+I19+J19</f>
        <v>364737.93546533154</v>
      </c>
      <c r="P27" s="67">
        <f t="shared" si="8"/>
        <v>-18236.896773266577</v>
      </c>
      <c r="Q27" s="67">
        <f t="shared" ref="Q27:Q28" si="11">(O27+P27)*0.21</f>
        <v>72765.218125333631</v>
      </c>
      <c r="R27" s="123">
        <f t="shared" ref="R27:R28" si="12">+O27+P27+Q27</f>
        <v>419266.25681739859</v>
      </c>
      <c r="V27" s="178">
        <v>372415.49295587186</v>
      </c>
      <c r="W27" s="123">
        <f t="shared" si="7"/>
        <v>46850.763861526735</v>
      </c>
    </row>
    <row r="28" spans="1:23" x14ac:dyDescent="0.25">
      <c r="N28" t="s">
        <v>135</v>
      </c>
      <c r="O28" s="123">
        <f>+K19+L19</f>
        <v>4462436.4448010018</v>
      </c>
      <c r="P28" s="67">
        <f t="shared" si="8"/>
        <v>-223121.8222400501</v>
      </c>
      <c r="Q28" s="67">
        <f t="shared" si="11"/>
        <v>890256.07073779986</v>
      </c>
      <c r="R28" s="123">
        <f t="shared" si="12"/>
        <v>5129570.6932987515</v>
      </c>
      <c r="S28" s="123">
        <f>R28+R27</f>
        <v>5548836.9501161501</v>
      </c>
      <c r="T28" s="123">
        <f>S28+S26</f>
        <v>13206037.9564847</v>
      </c>
      <c r="V28" s="178">
        <v>4743671.5612449953</v>
      </c>
      <c r="W28" s="123">
        <f t="shared" si="7"/>
        <v>385899.13205375616</v>
      </c>
    </row>
    <row r="29" spans="1:23" x14ac:dyDescent="0.25">
      <c r="R29" s="123">
        <f>SUM(R23:R28)</f>
        <v>19168652.0027772</v>
      </c>
    </row>
  </sheetData>
  <mergeCells count="6">
    <mergeCell ref="I14:R14"/>
    <mergeCell ref="A20:D20"/>
    <mergeCell ref="A1:B1"/>
    <mergeCell ref="A5:D5"/>
    <mergeCell ref="A14:D15"/>
    <mergeCell ref="E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HES GRAL</vt:lpstr>
      <vt:lpstr>mensual gral.</vt:lpstr>
      <vt:lpstr>palermo</vt:lpstr>
      <vt:lpstr>la plata y san isidro</vt:lpstr>
      <vt:lpstr>total gral.</vt:lpstr>
      <vt:lpstr>total palermo</vt:lpstr>
      <vt:lpstr>total La plata y san isidro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xxxx</dc:creator>
  <cp:lastModifiedBy>omar gonzalez</cp:lastModifiedBy>
  <cp:lastPrinted>2022-12-22T12:25:32Z</cp:lastPrinted>
  <dcterms:created xsi:type="dcterms:W3CDTF">2018-12-30T13:26:06Z</dcterms:created>
  <dcterms:modified xsi:type="dcterms:W3CDTF">2026-02-05T16:33:39Z</dcterms:modified>
</cp:coreProperties>
</file>